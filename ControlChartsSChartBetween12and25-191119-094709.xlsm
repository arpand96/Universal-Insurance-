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Books\SSGI\Black Belt\Project\Solutions Project Templates\"/>
    </mc:Choice>
  </mc:AlternateContent>
  <xr:revisionPtr revIDLastSave="0" documentId="8_{A6BDC7A4-8CFB-4ABF-8C0F-7C786EC80AAF}" xr6:coauthVersionLast="40" xr6:coauthVersionMax="40" xr10:uidLastSave="{00000000-0000-0000-0000-000000000000}"/>
  <bookViews>
    <workbookView xWindow="0" yWindow="0" windowWidth="20490" windowHeight="6930" xr2:uid="{1B151DB5-1593-438B-B171-FE76453C6D06}"/>
  </bookViews>
  <sheets>
    <sheet name="5 Preliminary Sample Template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3" i="7" l="1"/>
  <c r="E23" i="7"/>
  <c r="D23" i="7"/>
  <c r="C23" i="7"/>
  <c r="B23" i="7"/>
  <c r="B28" i="7"/>
  <c r="B29" i="7"/>
  <c r="B24" i="7" l="1"/>
  <c r="F25" i="7"/>
  <c r="E25" i="7"/>
  <c r="D25" i="7"/>
  <c r="C25" i="7"/>
  <c r="B25" i="7"/>
  <c r="B26" i="7" l="1"/>
  <c r="B30" i="7" l="1"/>
  <c r="B32" i="7"/>
  <c r="B31" i="7"/>
</calcChain>
</file>

<file path=xl/sharedStrings.xml><?xml version="1.0" encoding="utf-8"?>
<sst xmlns="http://schemas.openxmlformats.org/spreadsheetml/2006/main" count="24" uniqueCount="23">
  <si>
    <t>Sample Number</t>
  </si>
  <si>
    <t>The Lower Control Limit</t>
  </si>
  <si>
    <t>The Upper Control Limit</t>
  </si>
  <si>
    <t>Grand Mean</t>
  </si>
  <si>
    <t>Mean</t>
  </si>
  <si>
    <t>The centerline or target</t>
  </si>
  <si>
    <t>The remaining calculations are automatically performed by the template.</t>
  </si>
  <si>
    <t>Sample</t>
  </si>
  <si>
    <t>Size</t>
  </si>
  <si>
    <t>Value</t>
  </si>
  <si>
    <t>Enter Sample Size. Between 12 and 25.</t>
  </si>
  <si>
    <r>
      <t>B</t>
    </r>
    <r>
      <rPr>
        <vertAlign val="subscript"/>
        <sz val="11"/>
        <color theme="1"/>
        <rFont val="Calibri"/>
        <family val="2"/>
        <scheme val="minor"/>
      </rPr>
      <t>4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</si>
  <si>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</si>
  <si>
    <t>Standard Deviation</t>
  </si>
  <si>
    <t>Grand Standard Deviation</t>
  </si>
  <si>
    <r>
      <t>Value for B</t>
    </r>
    <r>
      <rPr>
        <vertAlign val="subscript"/>
        <sz val="11"/>
        <color theme="1"/>
        <rFont val="Calibri"/>
        <family val="2"/>
        <scheme val="minor"/>
      </rPr>
      <t>3</t>
    </r>
  </si>
  <si>
    <r>
      <t>Value for B</t>
    </r>
    <r>
      <rPr>
        <vertAlign val="subscript"/>
        <sz val="11"/>
        <color theme="1"/>
        <rFont val="Calibri"/>
        <family val="2"/>
        <scheme val="minor"/>
      </rPr>
      <t>4</t>
    </r>
  </si>
  <si>
    <t xml:space="preserve">                                  Observation</t>
  </si>
  <si>
    <t>S Charts: Upper &amp; Lower Control Lmits for Sample Sizes Between 12and 25.</t>
  </si>
  <si>
    <t>Preliminary Samples</t>
  </si>
  <si>
    <t>@2019 SSGI. For Personal Use Only. Other Uses Require Written Permission.</t>
  </si>
  <si>
    <t xml:space="preserve">Preliminary samples are taken and the results of each observation entered into the table below. </t>
  </si>
  <si>
    <t>The template requres that 10 separate samples be taken with up to 10 observations in each sample.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</si>
</sst>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1" fillId="0" borderId="0" xfId="0" applyFont="1" applyProtection="1">
      <protection locked="0"/>
    </xf>
    <xf numFmtId="0" fontId="1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2" fontId="1" fillId="0" borderId="0" xfId="0" applyNumberFormat="1" applyFont="1" applyProtection="1">
      <protection locked="0"/>
    </xf>
    <xf numFmtId="2" fontId="3" fillId="0" borderId="0" xfId="0" applyNumberFormat="1" applyFont="1" applyProtection="1">
      <protection locked="0"/>
    </xf>
    <xf numFmtId="0" fontId="3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/>
    <xf numFmtId="0" fontId="0" fillId="0" borderId="0" xfId="0" applyProtection="1"/>
    <xf numFmtId="2" fontId="3" fillId="2" borderId="0" xfId="0" applyNumberFormat="1" applyFont="1" applyFill="1" applyProtection="1"/>
    <xf numFmtId="0" fontId="3" fillId="2" borderId="0" xfId="0" applyFont="1" applyFill="1" applyProtection="1"/>
    <xf numFmtId="2" fontId="1" fillId="0" borderId="0" xfId="0" applyNumberFormat="1" applyFont="1" applyProtection="1"/>
    <xf numFmtId="0" fontId="1" fillId="0" borderId="0" xfId="0" applyFont="1" applyProtection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28</xdr:row>
      <xdr:rowOff>66675</xdr:rowOff>
    </xdr:from>
    <xdr:to>
      <xdr:col>8</xdr:col>
      <xdr:colOff>114300</xdr:colOff>
      <xdr:row>32</xdr:row>
      <xdr:rowOff>104775</xdr:rowOff>
    </xdr:to>
    <xdr:sp macro="[0]!ClearSheetC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10175" y="5591175"/>
          <a:ext cx="942975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Clear</a:t>
          </a:r>
        </a:p>
        <a:p>
          <a:pPr algn="ctr"/>
          <a:r>
            <a:rPr lang="en-US" sz="1800"/>
            <a:t>Sheet</a:t>
          </a:r>
          <a:r>
            <a:rPr lang="en-US" sz="1800" baseline="0"/>
            <a:t> </a:t>
          </a:r>
          <a:endParaRPr lang="en-US" sz="1800"/>
        </a:p>
      </xdr:txBody>
    </xdr:sp>
    <xdr:clientData/>
  </xdr:twoCellAnchor>
  <xdr:twoCellAnchor editAs="oneCell">
    <xdr:from>
      <xdr:col>9</xdr:col>
      <xdr:colOff>504825</xdr:colOff>
      <xdr:row>1</xdr:row>
      <xdr:rowOff>114300</xdr:rowOff>
    </xdr:from>
    <xdr:to>
      <xdr:col>10</xdr:col>
      <xdr:colOff>561975</xdr:colOff>
      <xdr:row>3</xdr:row>
      <xdr:rowOff>48895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53275" y="447675"/>
          <a:ext cx="666750" cy="3155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C68F-FE2C-48A3-9468-44CD72BD6F09}">
  <sheetPr codeName="Sheet2"/>
  <dimension ref="A1:M51"/>
  <sheetViews>
    <sheetView showGridLines="0" showRowColHeaders="0" tabSelected="1" workbookViewId="0">
      <selection activeCell="D13" sqref="D13"/>
    </sheetView>
  </sheetViews>
  <sheetFormatPr defaultRowHeight="15" x14ac:dyDescent="0.25"/>
  <cols>
    <col min="1" max="1" width="26.5703125" style="4" customWidth="1"/>
    <col min="2" max="16384" width="9.140625" style="4"/>
  </cols>
  <sheetData>
    <row r="1" spans="1:12" ht="26.25" x14ac:dyDescent="0.4">
      <c r="A1" s="1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3" spans="1:12" x14ac:dyDescent="0.25">
      <c r="A3" s="17" t="s">
        <v>21</v>
      </c>
      <c r="B3" s="17"/>
      <c r="C3" s="17"/>
      <c r="D3" s="17"/>
      <c r="E3" s="17"/>
      <c r="F3" s="17"/>
      <c r="G3" s="17"/>
      <c r="H3" s="17"/>
    </row>
    <row r="4" spans="1:12" x14ac:dyDescent="0.25">
      <c r="A4" s="17" t="s">
        <v>6</v>
      </c>
      <c r="B4" s="17"/>
      <c r="C4" s="17"/>
      <c r="D4" s="17"/>
      <c r="E4" s="17"/>
      <c r="F4" s="17"/>
      <c r="G4" s="17"/>
      <c r="H4" s="17"/>
    </row>
    <row r="5" spans="1:12" x14ac:dyDescent="0.25">
      <c r="A5" s="17" t="s">
        <v>22</v>
      </c>
      <c r="B5" s="17"/>
      <c r="C5" s="17"/>
      <c r="D5" s="17"/>
      <c r="E5" s="17"/>
      <c r="F5" s="17"/>
      <c r="G5" s="17"/>
      <c r="H5" s="17"/>
    </row>
    <row r="7" spans="1:12" x14ac:dyDescent="0.25">
      <c r="A7" s="17" t="s">
        <v>10</v>
      </c>
      <c r="B7" s="17"/>
      <c r="C7" s="5">
        <v>13</v>
      </c>
    </row>
    <row r="10" spans="1:12" x14ac:dyDescent="0.25">
      <c r="A10" s="17" t="s">
        <v>19</v>
      </c>
      <c r="B10" s="17"/>
      <c r="C10" s="17"/>
      <c r="D10" s="17"/>
      <c r="E10" s="17"/>
    </row>
    <row r="11" spans="1:12" x14ac:dyDescent="0.25">
      <c r="A11" s="17"/>
      <c r="B11" s="17"/>
      <c r="C11" s="17"/>
      <c r="D11" s="17" t="s">
        <v>0</v>
      </c>
      <c r="E11" s="17"/>
    </row>
    <row r="12" spans="1:12" x14ac:dyDescent="0.25">
      <c r="A12" s="17" t="s">
        <v>17</v>
      </c>
      <c r="B12" s="21">
        <v>1</v>
      </c>
      <c r="C12" s="21">
        <v>2</v>
      </c>
      <c r="D12" s="21">
        <v>3</v>
      </c>
      <c r="E12" s="21">
        <v>4</v>
      </c>
      <c r="F12" s="21">
        <v>5</v>
      </c>
      <c r="G12" s="6"/>
      <c r="H12" s="6"/>
      <c r="I12" s="6"/>
      <c r="J12" s="6"/>
      <c r="K12" s="6"/>
    </row>
    <row r="13" spans="1:12" x14ac:dyDescent="0.25">
      <c r="A13" s="17">
        <v>1</v>
      </c>
      <c r="B13" s="9">
        <v>2.1</v>
      </c>
      <c r="C13" s="9">
        <v>0.5</v>
      </c>
      <c r="D13" s="9">
        <v>0.8</v>
      </c>
      <c r="E13" s="9">
        <v>0.2</v>
      </c>
      <c r="F13" s="9">
        <v>1.1000000000000001</v>
      </c>
      <c r="G13" s="9"/>
      <c r="H13" s="9"/>
      <c r="I13" s="9"/>
      <c r="J13" s="9"/>
      <c r="K13" s="9"/>
    </row>
    <row r="14" spans="1:12" x14ac:dyDescent="0.25">
      <c r="A14" s="17">
        <v>2</v>
      </c>
      <c r="B14" s="9">
        <v>1.5</v>
      </c>
      <c r="C14" s="9">
        <v>1.1000000000000001</v>
      </c>
      <c r="D14" s="9">
        <v>1.1000000000000001</v>
      </c>
      <c r="E14" s="9">
        <v>0.7</v>
      </c>
      <c r="F14" s="9">
        <v>0.2</v>
      </c>
      <c r="G14" s="9"/>
      <c r="H14" s="9"/>
      <c r="I14" s="9"/>
      <c r="J14" s="9"/>
      <c r="K14" s="9"/>
    </row>
    <row r="15" spans="1:12" x14ac:dyDescent="0.25">
      <c r="A15" s="17">
        <v>3</v>
      </c>
      <c r="B15" s="9">
        <v>3.2</v>
      </c>
      <c r="C15" s="9">
        <v>2</v>
      </c>
      <c r="D15" s="9">
        <v>1.4</v>
      </c>
      <c r="E15" s="9">
        <v>1.1000000000000001</v>
      </c>
      <c r="F15" s="9">
        <v>0.5</v>
      </c>
      <c r="G15" s="9"/>
      <c r="H15" s="9"/>
      <c r="I15" s="9"/>
      <c r="J15" s="9"/>
      <c r="K15" s="9"/>
    </row>
    <row r="16" spans="1:12" x14ac:dyDescent="0.25">
      <c r="A16" s="17">
        <v>4</v>
      </c>
      <c r="B16" s="9">
        <v>0.4</v>
      </c>
      <c r="C16" s="9">
        <v>1.6</v>
      </c>
      <c r="D16" s="9">
        <v>0.5</v>
      </c>
      <c r="E16" s="9">
        <v>2.2999999999999998</v>
      </c>
      <c r="F16" s="9">
        <v>0.9</v>
      </c>
      <c r="G16" s="9"/>
      <c r="H16" s="9"/>
      <c r="I16" s="9"/>
      <c r="J16" s="9"/>
      <c r="K16" s="9"/>
    </row>
    <row r="17" spans="1:13" x14ac:dyDescent="0.25">
      <c r="A17" s="17">
        <v>5</v>
      </c>
      <c r="B17" s="9">
        <v>0.5</v>
      </c>
      <c r="C17" s="9">
        <v>1.4</v>
      </c>
      <c r="D17" s="9">
        <v>1.7</v>
      </c>
      <c r="E17" s="9">
        <v>1.5</v>
      </c>
      <c r="F17" s="9">
        <v>1.4</v>
      </c>
      <c r="G17" s="9"/>
      <c r="H17" s="9"/>
      <c r="I17" s="9"/>
      <c r="J17" s="9"/>
      <c r="K17" s="9"/>
    </row>
    <row r="18" spans="1:13" x14ac:dyDescent="0.25">
      <c r="A18" s="17">
        <v>6</v>
      </c>
      <c r="B18" s="9">
        <v>1.1000000000000001</v>
      </c>
      <c r="C18" s="9">
        <v>0.5</v>
      </c>
      <c r="D18" s="9">
        <v>2.1</v>
      </c>
      <c r="E18" s="9">
        <v>0.9</v>
      </c>
      <c r="F18" s="9">
        <v>1.1000000000000001</v>
      </c>
      <c r="G18" s="9"/>
      <c r="H18" s="9"/>
      <c r="I18" s="9"/>
      <c r="J18" s="9"/>
      <c r="K18" s="9"/>
    </row>
    <row r="19" spans="1:13" x14ac:dyDescent="0.25">
      <c r="A19" s="17">
        <v>7</v>
      </c>
      <c r="B19" s="9">
        <v>1.6</v>
      </c>
      <c r="C19" s="9">
        <v>1</v>
      </c>
      <c r="D19" s="9">
        <v>1.1000000000000001</v>
      </c>
      <c r="E19" s="9">
        <v>1.3</v>
      </c>
      <c r="F19" s="9">
        <v>0.5</v>
      </c>
      <c r="G19" s="9"/>
      <c r="H19" s="9"/>
      <c r="I19" s="9"/>
      <c r="J19" s="9"/>
      <c r="K19" s="9"/>
    </row>
    <row r="20" spans="1:13" x14ac:dyDescent="0.25">
      <c r="A20" s="17">
        <v>8</v>
      </c>
      <c r="B20" s="9">
        <v>2.1</v>
      </c>
      <c r="C20" s="9">
        <v>1.8</v>
      </c>
      <c r="D20" s="9">
        <v>0.7</v>
      </c>
      <c r="E20" s="9">
        <v>1.7</v>
      </c>
      <c r="F20" s="9">
        <v>2.2000000000000002</v>
      </c>
      <c r="G20" s="9"/>
      <c r="H20" s="9"/>
      <c r="I20" s="9"/>
      <c r="J20" s="9"/>
      <c r="K20" s="9"/>
    </row>
    <row r="21" spans="1:13" x14ac:dyDescent="0.25">
      <c r="A21" s="17">
        <v>9</v>
      </c>
      <c r="B21" s="9">
        <v>1.4</v>
      </c>
      <c r="C21" s="9">
        <v>2</v>
      </c>
      <c r="D21" s="9">
        <v>1.5</v>
      </c>
      <c r="E21" s="9">
        <v>2.4</v>
      </c>
      <c r="F21" s="9">
        <v>1.7</v>
      </c>
      <c r="G21" s="9"/>
      <c r="H21" s="9"/>
      <c r="I21" s="9"/>
      <c r="J21" s="9"/>
      <c r="K21" s="9"/>
    </row>
    <row r="22" spans="1:13" x14ac:dyDescent="0.25">
      <c r="A22" s="17">
        <v>10</v>
      </c>
      <c r="B22" s="9">
        <v>0.3</v>
      </c>
      <c r="C22" s="9">
        <v>1</v>
      </c>
      <c r="D22" s="9">
        <v>2.2999999999999998</v>
      </c>
      <c r="E22" s="9">
        <v>1.3</v>
      </c>
      <c r="F22" s="9">
        <v>0.5</v>
      </c>
      <c r="G22" s="9"/>
      <c r="H22" s="9"/>
      <c r="I22" s="9"/>
      <c r="J22" s="9"/>
      <c r="K22" s="9"/>
    </row>
    <row r="23" spans="1:13" x14ac:dyDescent="0.25">
      <c r="A23" s="4" t="s">
        <v>4</v>
      </c>
      <c r="B23" s="20">
        <f>IF(B13="","",AVERAGE(B13:B22))</f>
        <v>1.4200000000000002</v>
      </c>
      <c r="C23" s="20">
        <f>IF(C13="","",AVERAGE(C13:C22))</f>
        <v>1.29</v>
      </c>
      <c r="D23" s="20">
        <f>IF(D13="","",AVERAGE(D13:D22))</f>
        <v>1.3199999999999998</v>
      </c>
      <c r="E23" s="20">
        <f>IF(E13="","",AVERAGE(E13:E22))</f>
        <v>1.34</v>
      </c>
      <c r="F23" s="20">
        <f>IF(F13="","",AVERAGE(F13:F22))</f>
        <v>1.01</v>
      </c>
      <c r="G23" s="7"/>
      <c r="H23" s="7"/>
      <c r="I23" s="7"/>
      <c r="J23" s="7"/>
      <c r="K23" s="7"/>
    </row>
    <row r="24" spans="1:13" x14ac:dyDescent="0.25">
      <c r="A24" s="4" t="s">
        <v>3</v>
      </c>
      <c r="B24" s="16">
        <f>IF(B23="","",AVERAGE(B23:F23))</f>
        <v>1.2759999999999998</v>
      </c>
      <c r="C24" s="8"/>
      <c r="D24" s="8"/>
      <c r="E24" s="8"/>
      <c r="F24" s="8"/>
    </row>
    <row r="25" spans="1:13" x14ac:dyDescent="0.25">
      <c r="A25" s="4" t="s">
        <v>13</v>
      </c>
      <c r="B25" s="16">
        <f>IF(B14="","",STDEV(B13:B22))</f>
        <v>0.90529307716095775</v>
      </c>
      <c r="C25" s="16">
        <f t="shared" ref="C25:F25" si="0">IF(C14="","",STDEV(C13:C22))</f>
        <v>0.56065437957206166</v>
      </c>
      <c r="D25" s="16">
        <f t="shared" si="0"/>
        <v>0.59404451759854593</v>
      </c>
      <c r="E25" s="16">
        <f t="shared" si="0"/>
        <v>0.6801960501698513</v>
      </c>
      <c r="F25" s="16">
        <f t="shared" si="0"/>
        <v>0.62441083341730153</v>
      </c>
      <c r="G25" s="9"/>
      <c r="H25" s="9"/>
      <c r="I25" s="9"/>
      <c r="J25" s="9"/>
      <c r="K25" s="9"/>
      <c r="M25" s="10"/>
    </row>
    <row r="26" spans="1:13" ht="15.75" x14ac:dyDescent="0.25">
      <c r="A26" s="4" t="s">
        <v>14</v>
      </c>
      <c r="B26" s="16">
        <f>IF(B24="","",AVERAGE(B25:F25))</f>
        <v>0.67291977158374361</v>
      </c>
      <c r="C26" s="8"/>
      <c r="D26" s="11"/>
      <c r="E26" s="8"/>
      <c r="F26" s="8"/>
    </row>
    <row r="28" spans="1:13" ht="18" x14ac:dyDescent="0.35">
      <c r="A28" s="4" t="s">
        <v>15</v>
      </c>
      <c r="B28" s="17">
        <f>IF(C7="","",VLOOKUP(C7,B36:D49,2,FALSE))</f>
        <v>0.38200000000000001</v>
      </c>
    </row>
    <row r="29" spans="1:13" ht="18" x14ac:dyDescent="0.35">
      <c r="A29" s="4" t="s">
        <v>16</v>
      </c>
      <c r="B29" s="17">
        <f>IF(C7="","",VLOOKUP(C7,B36:D49,3,FALSE))</f>
        <v>1.6180000000000001</v>
      </c>
    </row>
    <row r="30" spans="1:13" ht="15.75" x14ac:dyDescent="0.25">
      <c r="A30" s="12" t="s">
        <v>5</v>
      </c>
      <c r="B30" s="18">
        <f>B26</f>
        <v>0.67291977158374361</v>
      </c>
    </row>
    <row r="31" spans="1:13" ht="15.75" x14ac:dyDescent="0.25">
      <c r="A31" s="12" t="s">
        <v>2</v>
      </c>
      <c r="B31" s="19">
        <f>IF(B26="","",VLOOKUP(C7,B36:D49,3,FALSE)*B26)</f>
        <v>1.0887841904224973</v>
      </c>
      <c r="K31" s="13"/>
    </row>
    <row r="32" spans="1:13" ht="15.75" x14ac:dyDescent="0.25">
      <c r="A32" s="12" t="s">
        <v>1</v>
      </c>
      <c r="B32" s="19">
        <f>IF(B26="","",VLOOKUP(C7,B36:D49,2,FALSE)*B26)</f>
        <v>0.25705535274499008</v>
      </c>
    </row>
    <row r="34" spans="2:4" ht="18" hidden="1" x14ac:dyDescent="0.35">
      <c r="B34" s="4" t="s">
        <v>7</v>
      </c>
      <c r="C34" s="14" t="s">
        <v>12</v>
      </c>
      <c r="D34" s="14" t="s">
        <v>11</v>
      </c>
    </row>
    <row r="35" spans="2:4" hidden="1" x14ac:dyDescent="0.25">
      <c r="B35" s="4" t="s">
        <v>8</v>
      </c>
      <c r="C35" s="14" t="s">
        <v>9</v>
      </c>
      <c r="D35" s="14" t="s">
        <v>9</v>
      </c>
    </row>
    <row r="36" spans="2:4" hidden="1" x14ac:dyDescent="0.25">
      <c r="B36" s="4">
        <v>12</v>
      </c>
      <c r="C36" s="15">
        <v>0.35399999999999998</v>
      </c>
      <c r="D36" s="15">
        <v>1.6459999999999999</v>
      </c>
    </row>
    <row r="37" spans="2:4" hidden="1" x14ac:dyDescent="0.25">
      <c r="B37" s="4">
        <v>13</v>
      </c>
      <c r="C37" s="15">
        <v>0.38200000000000001</v>
      </c>
      <c r="D37" s="15">
        <v>1.6180000000000001</v>
      </c>
    </row>
    <row r="38" spans="2:4" hidden="1" x14ac:dyDescent="0.25">
      <c r="B38" s="4">
        <v>14</v>
      </c>
      <c r="C38" s="15">
        <v>0.40600000000000003</v>
      </c>
      <c r="D38" s="15">
        <v>1.5940000000000001</v>
      </c>
    </row>
    <row r="39" spans="2:4" hidden="1" x14ac:dyDescent="0.25">
      <c r="B39" s="4">
        <v>15</v>
      </c>
      <c r="C39" s="15">
        <v>0.42799999999999999</v>
      </c>
      <c r="D39" s="15">
        <v>1.5720000000000001</v>
      </c>
    </row>
    <row r="40" spans="2:4" hidden="1" x14ac:dyDescent="0.25">
      <c r="B40" s="4">
        <v>16</v>
      </c>
      <c r="C40" s="15">
        <v>0.44800000000000001</v>
      </c>
      <c r="D40" s="15">
        <v>1.552</v>
      </c>
    </row>
    <row r="41" spans="2:4" hidden="1" x14ac:dyDescent="0.25">
      <c r="B41" s="4">
        <v>17</v>
      </c>
      <c r="C41" s="15">
        <v>0.46600000000000003</v>
      </c>
      <c r="D41" s="15">
        <v>1.534</v>
      </c>
    </row>
    <row r="42" spans="2:4" hidden="1" x14ac:dyDescent="0.25">
      <c r="B42" s="4">
        <v>18</v>
      </c>
      <c r="C42" s="15">
        <v>0.48199999999999998</v>
      </c>
      <c r="D42" s="15">
        <v>1.518</v>
      </c>
    </row>
    <row r="43" spans="2:4" hidden="1" x14ac:dyDescent="0.25">
      <c r="B43" s="4">
        <v>19</v>
      </c>
      <c r="C43" s="15">
        <v>0.497</v>
      </c>
      <c r="D43" s="15">
        <v>1.5029999999999999</v>
      </c>
    </row>
    <row r="44" spans="2:4" hidden="1" x14ac:dyDescent="0.25">
      <c r="B44" s="4">
        <v>20</v>
      </c>
      <c r="C44" s="15">
        <v>0.51</v>
      </c>
      <c r="D44" s="15">
        <v>1.49</v>
      </c>
    </row>
    <row r="45" spans="2:4" hidden="1" x14ac:dyDescent="0.25">
      <c r="B45" s="4">
        <v>21</v>
      </c>
      <c r="C45" s="15">
        <v>0.52300000000000002</v>
      </c>
      <c r="D45" s="15">
        <v>1.4770000000000001</v>
      </c>
    </row>
    <row r="46" spans="2:4" hidden="1" x14ac:dyDescent="0.25">
      <c r="B46" s="4">
        <v>22</v>
      </c>
      <c r="C46" s="15">
        <v>0.53400000000000003</v>
      </c>
      <c r="D46" s="15">
        <v>1.466</v>
      </c>
    </row>
    <row r="47" spans="2:4" hidden="1" x14ac:dyDescent="0.25">
      <c r="B47" s="4">
        <v>23</v>
      </c>
      <c r="C47" s="15">
        <v>0.54500000000000004</v>
      </c>
      <c r="D47" s="15">
        <v>1.4550000000000001</v>
      </c>
    </row>
    <row r="48" spans="2:4" hidden="1" x14ac:dyDescent="0.25">
      <c r="B48" s="4">
        <v>24</v>
      </c>
      <c r="C48" s="15">
        <v>0.55500000000000005</v>
      </c>
      <c r="D48" s="15">
        <v>1.4450000000000001</v>
      </c>
    </row>
    <row r="49" spans="1:4" hidden="1" x14ac:dyDescent="0.25">
      <c r="B49" s="4">
        <v>25</v>
      </c>
      <c r="C49" s="15">
        <v>0.56499999999999995</v>
      </c>
      <c r="D49" s="15">
        <v>1.4350000000000001</v>
      </c>
    </row>
    <row r="51" spans="1:4" x14ac:dyDescent="0.25">
      <c r="A51" s="22" t="s">
        <v>20</v>
      </c>
    </row>
  </sheetData>
  <sheetProtection sheet="1" objects="1" scenarios="1" selectLockedCells="1"/>
  <pageMargins left="0.7" right="0.7" top="0.75" bottom="0.75" header="0.3" footer="0.3"/>
  <pageSetup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 Preliminary Sample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bshore</dc:creator>
  <cp:lastModifiedBy>bshore</cp:lastModifiedBy>
  <cp:lastPrinted>2018-04-23T20:45:28Z</cp:lastPrinted>
  <dcterms:created xsi:type="dcterms:W3CDTF">2018-03-31T20:56:50Z</dcterms:created>
  <dcterms:modified xsi:type="dcterms:W3CDTF">2018-12-31T18:47:20Z</dcterms:modified>
</cp:coreProperties>
</file>