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H:\Books\SSGI\Black Belt\Project\Solutions Project Templates\"/>
    </mc:Choice>
  </mc:AlternateContent>
  <xr:revisionPtr revIDLastSave="0" documentId="8_{2B6E7C72-D4C6-4629-B5F4-C70E935CE0C6}" xr6:coauthVersionLast="40" xr6:coauthVersionMax="40" xr10:uidLastSave="{00000000-0000-0000-0000-000000000000}"/>
  <bookViews>
    <workbookView xWindow="0" yWindow="0" windowWidth="20490" windowHeight="6930" activeTab="1" xr2:uid="{1B151DB5-1593-438B-B171-FE76453C6D06}"/>
  </bookViews>
  <sheets>
    <sheet name="Example" sheetId="2" r:id="rId1"/>
    <sheet name="5 Preliminary Sample Template" sheetId="5" r:id="rId2"/>
  </sheets>
  <definedNames>
    <definedName name="OLE_LINK1" localSheetId="1">'5 Preliminary Sample Template'!$A$48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2" i="2" l="1"/>
  <c r="J32" i="2"/>
  <c r="I32" i="2"/>
  <c r="H32" i="2"/>
  <c r="G32" i="2"/>
  <c r="F32" i="2"/>
  <c r="E32" i="2"/>
  <c r="D32" i="2"/>
  <c r="C32" i="2"/>
  <c r="B32" i="2"/>
  <c r="F22" i="5"/>
  <c r="E22" i="5"/>
  <c r="D22" i="5"/>
  <c r="C22" i="5"/>
  <c r="B22" i="5"/>
  <c r="B23" i="5" l="1"/>
  <c r="B33" i="2"/>
  <c r="C24" i="5"/>
  <c r="D24" i="5"/>
  <c r="E24" i="5"/>
  <c r="F24" i="5"/>
  <c r="B24" i="5"/>
  <c r="B25" i="5" l="1"/>
  <c r="B30" i="5" s="1"/>
  <c r="K34" i="2"/>
  <c r="J34" i="2"/>
  <c r="I34" i="2"/>
  <c r="H34" i="2"/>
  <c r="G34" i="2"/>
  <c r="F34" i="2"/>
  <c r="E34" i="2"/>
  <c r="D34" i="2"/>
  <c r="C34" i="2"/>
  <c r="B34" i="2"/>
  <c r="B29" i="5" l="1"/>
  <c r="B35" i="2"/>
  <c r="B40" i="2" s="1"/>
  <c r="B39" i="2"/>
  <c r="B38" i="2"/>
  <c r="B28" i="5"/>
</calcChain>
</file>

<file path=xl/sharedStrings.xml><?xml version="1.0" encoding="utf-8"?>
<sst xmlns="http://schemas.openxmlformats.org/spreadsheetml/2006/main" count="43" uniqueCount="28">
  <si>
    <t>Prelininary Samples</t>
  </si>
  <si>
    <t>Observation</t>
  </si>
  <si>
    <t>The Lower Control Limit</t>
  </si>
  <si>
    <t>The Upper Control Limit</t>
  </si>
  <si>
    <t>Mean</t>
  </si>
  <si>
    <t>Compute the Means of each sample.</t>
  </si>
  <si>
    <t>The centerline or target</t>
  </si>
  <si>
    <t>Sample</t>
  </si>
  <si>
    <t>Size</t>
  </si>
  <si>
    <t>Value</t>
  </si>
  <si>
    <t>Enter Sample Size. Between 12 and 25.</t>
  </si>
  <si>
    <r>
      <t>A</t>
    </r>
    <r>
      <rPr>
        <vertAlign val="subscript"/>
        <sz val="11"/>
        <color theme="1"/>
        <rFont val="Calibri"/>
        <family val="2"/>
        <scheme val="minor"/>
      </rPr>
      <t>3</t>
    </r>
  </si>
  <si>
    <t>Standard Deviation</t>
  </si>
  <si>
    <t>Average Standard Deviation</t>
  </si>
  <si>
    <t>Grand mean</t>
  </si>
  <si>
    <t>Eight steps in designing a Control Chart.</t>
  </si>
  <si>
    <t>X-Bar Charts: Upper and Lower Control Lmits for Sample Sizes 12 to 25</t>
  </si>
  <si>
    <t>X-Bar Charts: Upper and Lower Control Lmits for Sample Sizes 12 to 25.</t>
  </si>
  <si>
    <t>Computer Grand Mean of standard deviations. This becomes the Centerline or Target.</t>
  </si>
  <si>
    <t>Compute the Grand Mean of all sample means. This will be the Centerline for the Control Chart.</t>
  </si>
  <si>
    <t>Compute Standard Deviation of all 10 samples.</t>
  </si>
  <si>
    <t>Compute the Upper Control Limit.</t>
  </si>
  <si>
    <t>Compute the Lower Control Limit.</t>
  </si>
  <si>
    <t>Retrieve Constants from Statistical Tables. This is done automatically in the template below.</t>
  </si>
  <si>
    <t>Samples</t>
  </si>
  <si>
    <t>Preliminary Samples</t>
  </si>
  <si>
    <t>@2019 SSGI. For Personal Use Only. Other Uses Require Written Permission.</t>
  </si>
  <si>
    <t>Take Preliminary Samples, between 5 to 10. The sheet below is for 10 samples of 10 items 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</si>
</sst>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6" x14ac:knownFonts="1">
    <font>
      <sz val="11"/>
      <color theme="1"/>
      <name val="Calibri"/>
      <family val="2"/>
      <scheme val="minor"/>
    </font>
    <font>
      <sz val="11"/>
      <color rgb="FFFF0000"/>
      <name val="Calibri"/>
      <family val="2"/>
      <scheme val="minor"/>
    </font>
    <font>
      <sz val="20"/>
      <color theme="1"/>
      <name val="Calibri"/>
      <family val="2"/>
      <scheme val="minor"/>
    </font>
    <font>
      <sz val="12"/>
      <color theme="1"/>
      <name val="Calibri"/>
      <family val="2"/>
      <scheme val="minor"/>
    </font>
    <font>
      <vertAlign val="subscript"/>
      <sz val="11"/>
      <color theme="1"/>
      <name val="Calibri"/>
      <family val="2"/>
      <scheme val="minor"/>
    </font>
    <font>
      <sz val="8"/>
      <color theme="1"/>
      <name val="Calibri"/>
      <family val="2"/>
      <scheme val="minor"/>
    </font>
  </fonts>
  <fills count="5">
    <fill>
      <patternFill patternType="none"/>
    </fill>
    <fill>
      <patternFill patternType="gray125"/>
    </fill>
    <fill>
      <patternFill patternType="solid">
        <fgColor theme="7" tint="0.59999389629810485"/>
        <bgColor indexed="64"/>
      </patternFill>
    </fill>
    <fill>
      <patternFill patternType="solid">
        <fgColor theme="8" tint="0.79998168889431442"/>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4">
    <xf numFmtId="0" fontId="0" fillId="0" borderId="0" xfId="0"/>
    <xf numFmtId="2" fontId="1" fillId="0" borderId="0" xfId="0" applyNumberFormat="1" applyFont="1"/>
    <xf numFmtId="164" fontId="0" fillId="0" borderId="0" xfId="0" applyNumberFormat="1"/>
    <xf numFmtId="0" fontId="3" fillId="2" borderId="0" xfId="0" applyFont="1" applyFill="1"/>
    <xf numFmtId="0" fontId="0" fillId="3" borderId="1" xfId="0" applyFill="1" applyBorder="1"/>
    <xf numFmtId="0" fontId="0" fillId="0" borderId="0" xfId="0" applyAlignment="1">
      <alignment horizontal="center"/>
    </xf>
    <xf numFmtId="165" fontId="0" fillId="0" borderId="0" xfId="0" applyNumberFormat="1"/>
    <xf numFmtId="0" fontId="0" fillId="0" borderId="0" xfId="0" applyAlignment="1">
      <alignment horizontal="right"/>
    </xf>
    <xf numFmtId="0" fontId="1" fillId="0" borderId="0" xfId="0" applyFont="1" applyAlignment="1">
      <alignment horizontal="center"/>
    </xf>
    <xf numFmtId="0" fontId="2" fillId="4" borderId="0" xfId="0" applyFont="1" applyFill="1"/>
    <xf numFmtId="0" fontId="0" fillId="4" borderId="0" xfId="0" applyFill="1"/>
    <xf numFmtId="0" fontId="3" fillId="0" borderId="0" xfId="0" applyFont="1" applyFill="1"/>
    <xf numFmtId="2" fontId="0" fillId="0" borderId="0" xfId="0" applyNumberFormat="1"/>
    <xf numFmtId="2" fontId="3" fillId="0" borderId="0" xfId="0" applyNumberFormat="1" applyFont="1"/>
    <xf numFmtId="2" fontId="3" fillId="2" borderId="0" xfId="0" applyNumberFormat="1" applyFont="1" applyFill="1"/>
    <xf numFmtId="0" fontId="2"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0" fillId="3" borderId="1" xfId="0" applyFill="1" applyBorder="1" applyProtection="1">
      <protection locked="0"/>
    </xf>
    <xf numFmtId="0" fontId="1" fillId="0" borderId="0" xfId="0" applyFont="1" applyAlignment="1" applyProtection="1">
      <alignment horizontal="center"/>
      <protection locked="0"/>
    </xf>
    <xf numFmtId="164" fontId="0" fillId="0" borderId="0" xfId="0" applyNumberFormat="1" applyProtection="1">
      <protection locked="0"/>
    </xf>
    <xf numFmtId="2" fontId="1" fillId="0" borderId="0" xfId="0" applyNumberFormat="1" applyFont="1" applyProtection="1">
      <protection locked="0"/>
    </xf>
    <xf numFmtId="0" fontId="3" fillId="0" borderId="0" xfId="0" applyFont="1" applyProtection="1">
      <protection locked="0"/>
    </xf>
    <xf numFmtId="0" fontId="3" fillId="2" borderId="0" xfId="0" applyFont="1" applyFill="1" applyProtection="1">
      <protection locked="0"/>
    </xf>
    <xf numFmtId="0" fontId="3" fillId="0" borderId="0" xfId="0" applyFont="1" applyFill="1" applyProtection="1">
      <protection locked="0"/>
    </xf>
    <xf numFmtId="0" fontId="0" fillId="0" borderId="0" xfId="0" applyAlignment="1" applyProtection="1">
      <alignment horizontal="center"/>
      <protection locked="0"/>
    </xf>
    <xf numFmtId="165" fontId="0" fillId="0" borderId="0" xfId="0" applyNumberFormat="1" applyProtection="1">
      <protection locked="0"/>
    </xf>
    <xf numFmtId="0" fontId="1" fillId="0" borderId="0" xfId="0" applyNumberFormat="1" applyFont="1" applyProtection="1"/>
    <xf numFmtId="164" fontId="0" fillId="0" borderId="0" xfId="0" applyNumberFormat="1" applyProtection="1"/>
    <xf numFmtId="0" fontId="0" fillId="0" borderId="0" xfId="0" applyProtection="1"/>
    <xf numFmtId="0" fontId="3" fillId="2" borderId="0" xfId="0" applyFont="1" applyFill="1" applyProtection="1"/>
    <xf numFmtId="0" fontId="0" fillId="0" borderId="0" xfId="0" applyAlignment="1" applyProtection="1">
      <alignment horizontal="right"/>
    </xf>
    <xf numFmtId="0" fontId="1" fillId="0" borderId="0" xfId="0" applyFont="1" applyAlignment="1" applyProtection="1">
      <alignment horizontal="center"/>
    </xf>
    <xf numFmtId="0" fontId="5"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10</xdr:col>
      <xdr:colOff>552450</xdr:colOff>
      <xdr:row>15</xdr:row>
      <xdr:rowOff>114300</xdr:rowOff>
    </xdr:to>
    <xdr:sp macro="" textlink="">
      <xdr:nvSpPr>
        <xdr:cNvPr id="3" name="TextBox 2">
          <a:extLst>
            <a:ext uri="{FF2B5EF4-FFF2-40B4-BE49-F238E27FC236}">
              <a16:creationId xmlns:a16="http://schemas.microsoft.com/office/drawing/2014/main" id="{BD85A588-4B9B-4547-82DA-E2B059C7B6BE}"/>
            </a:ext>
          </a:extLst>
        </xdr:cNvPr>
        <xdr:cNvSpPr txBox="1"/>
      </xdr:nvSpPr>
      <xdr:spPr>
        <a:xfrm>
          <a:off x="0" y="2428875"/>
          <a:ext cx="7829550" cy="68580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Preliminary samples are taken and the results of each observation entered into the table below.  The remaining calculations are automatically performed by the template. In this example, 10 separate samples have</a:t>
          </a:r>
          <a:r>
            <a:rPr lang="en-US" sz="1100" baseline="0">
              <a:solidFill>
                <a:schemeClr val="dk1"/>
              </a:solidFill>
              <a:effectLst/>
              <a:latin typeface="+mn-lt"/>
              <a:ea typeface="+mn-ea"/>
              <a:cs typeface="+mn-cs"/>
            </a:rPr>
            <a:t> been</a:t>
          </a:r>
          <a:r>
            <a:rPr lang="en-US" sz="1100">
              <a:solidFill>
                <a:schemeClr val="dk1"/>
              </a:solidFill>
              <a:effectLst/>
              <a:latin typeface="+mn-lt"/>
              <a:ea typeface="+mn-ea"/>
              <a:cs typeface="+mn-cs"/>
            </a:rPr>
            <a:t> taken with 10 observations in each sample. </a:t>
          </a:r>
        </a:p>
        <a:p>
          <a:endParaRPr lang="en-US" sz="1100"/>
        </a:p>
      </xdr:txBody>
    </xdr:sp>
    <xdr:clientData/>
  </xdr:twoCellAnchor>
  <xdr:twoCellAnchor editAs="oneCell">
    <xdr:from>
      <xdr:col>9</xdr:col>
      <xdr:colOff>552450</xdr:colOff>
      <xdr:row>1</xdr:row>
      <xdr:rowOff>0</xdr:rowOff>
    </xdr:from>
    <xdr:to>
      <xdr:col>11</xdr:col>
      <xdr:colOff>0</xdr:colOff>
      <xdr:row>2</xdr:row>
      <xdr:rowOff>125095</xdr:rowOff>
    </xdr:to>
    <xdr:pic>
      <xdr:nvPicPr>
        <xdr:cNvPr id="4" name="Picture 3">
          <a:extLst>
            <a:ext uri="{FF2B5EF4-FFF2-40B4-BE49-F238E27FC236}">
              <a16:creationId xmlns:a16="http://schemas.microsoft.com/office/drawing/2014/main" id="{457FD2BB-7E2A-4E54-A0FB-EC78158C8DB7}"/>
            </a:ext>
          </a:extLst>
        </xdr:cNvPr>
        <xdr:cNvPicPr/>
      </xdr:nvPicPr>
      <xdr:blipFill>
        <a:blip xmlns:r="http://schemas.openxmlformats.org/officeDocument/2006/relationships" r:embed="rId1"/>
        <a:stretch>
          <a:fillRect/>
        </a:stretch>
      </xdr:blipFill>
      <xdr:spPr>
        <a:xfrm>
          <a:off x="7219950" y="333375"/>
          <a:ext cx="666750" cy="3155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390525</xdr:colOff>
      <xdr:row>26</xdr:row>
      <xdr:rowOff>66675</xdr:rowOff>
    </xdr:from>
    <xdr:to>
      <xdr:col>8</xdr:col>
      <xdr:colOff>114300</xdr:colOff>
      <xdr:row>30</xdr:row>
      <xdr:rowOff>104775</xdr:rowOff>
    </xdr:to>
    <xdr:sp macro="[0]!ClearSheetCL" textlink="">
      <xdr:nvSpPr>
        <xdr:cNvPr id="2" name="Rectangle: Rounded Corners 1">
          <a:extLst>
            <a:ext uri="{FF2B5EF4-FFF2-40B4-BE49-F238E27FC236}">
              <a16:creationId xmlns:a16="http://schemas.microsoft.com/office/drawing/2014/main" id="{ADAFD491-EC9A-4C2D-962F-91E616297568}"/>
            </a:ext>
          </a:extLst>
        </xdr:cNvPr>
        <xdr:cNvSpPr/>
      </xdr:nvSpPr>
      <xdr:spPr>
        <a:xfrm>
          <a:off x="5210175" y="5172075"/>
          <a:ext cx="942975" cy="828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Clear</a:t>
          </a:r>
        </a:p>
        <a:p>
          <a:pPr algn="ctr"/>
          <a:r>
            <a:rPr lang="en-US" sz="1800"/>
            <a:t>Sheet</a:t>
          </a:r>
          <a:r>
            <a:rPr lang="en-US" sz="1800" baseline="0"/>
            <a:t> </a:t>
          </a:r>
          <a:endParaRPr lang="en-US" sz="1800"/>
        </a:p>
      </xdr:txBody>
    </xdr:sp>
    <xdr:clientData/>
  </xdr:twoCellAnchor>
  <xdr:twoCellAnchor>
    <xdr:from>
      <xdr:col>0</xdr:col>
      <xdr:colOff>38100</xdr:colOff>
      <xdr:row>1</xdr:row>
      <xdr:rowOff>85725</xdr:rowOff>
    </xdr:from>
    <xdr:to>
      <xdr:col>9</xdr:col>
      <xdr:colOff>600075</xdr:colOff>
      <xdr:row>5</xdr:row>
      <xdr:rowOff>9525</xdr:rowOff>
    </xdr:to>
    <xdr:sp macro="" textlink="">
      <xdr:nvSpPr>
        <xdr:cNvPr id="3" name="TextBox 2">
          <a:extLst>
            <a:ext uri="{FF2B5EF4-FFF2-40B4-BE49-F238E27FC236}">
              <a16:creationId xmlns:a16="http://schemas.microsoft.com/office/drawing/2014/main" id="{76B38D5C-4A90-40BE-B9A4-009373802E7A}"/>
            </a:ext>
          </a:extLst>
        </xdr:cNvPr>
        <xdr:cNvSpPr txBox="1"/>
      </xdr:nvSpPr>
      <xdr:spPr>
        <a:xfrm>
          <a:off x="38100" y="419100"/>
          <a:ext cx="7315200" cy="68580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Preliminary samples are taken, and the results of each observation entered into the table below.  The remaining calculations are automatically performed by the template. The template requires that 5 separate samples be taken with up to 10 observations in each sample. </a:t>
          </a:r>
        </a:p>
        <a:p>
          <a:endParaRPr lang="en-US" sz="1100"/>
        </a:p>
      </xdr:txBody>
    </xdr:sp>
    <xdr:clientData/>
  </xdr:twoCellAnchor>
  <xdr:twoCellAnchor editAs="oneCell">
    <xdr:from>
      <xdr:col>8</xdr:col>
      <xdr:colOff>561975</xdr:colOff>
      <xdr:row>5</xdr:row>
      <xdr:rowOff>123825</xdr:rowOff>
    </xdr:from>
    <xdr:to>
      <xdr:col>10</xdr:col>
      <xdr:colOff>7297</xdr:colOff>
      <xdr:row>7</xdr:row>
      <xdr:rowOff>59844</xdr:rowOff>
    </xdr:to>
    <xdr:pic>
      <xdr:nvPicPr>
        <xdr:cNvPr id="4" name="Picture 3">
          <a:extLst>
            <a:ext uri="{FF2B5EF4-FFF2-40B4-BE49-F238E27FC236}">
              <a16:creationId xmlns:a16="http://schemas.microsoft.com/office/drawing/2014/main" id="{F376F1A3-A82E-4457-8EDC-FD5CEF362C7A}"/>
            </a:ext>
          </a:extLst>
        </xdr:cNvPr>
        <xdr:cNvPicPr>
          <a:picLocks noChangeAspect="1"/>
        </xdr:cNvPicPr>
      </xdr:nvPicPr>
      <xdr:blipFill>
        <a:blip xmlns:r="http://schemas.openxmlformats.org/officeDocument/2006/relationships" r:embed="rId1"/>
        <a:stretch>
          <a:fillRect/>
        </a:stretch>
      </xdr:blipFill>
      <xdr:spPr>
        <a:xfrm>
          <a:off x="6705600" y="1219200"/>
          <a:ext cx="664522" cy="3170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C7E57-BF27-4A07-928D-D2EE27C27A46}">
  <sheetPr codeName="Sheet2"/>
  <dimension ref="A1:K59"/>
  <sheetViews>
    <sheetView showGridLines="0" showRowColHeaders="0" topLeftCell="A34" workbookViewId="0">
      <selection activeCell="I3" sqref="I3"/>
    </sheetView>
  </sheetViews>
  <sheetFormatPr defaultRowHeight="15" x14ac:dyDescent="0.25"/>
  <cols>
    <col min="1" max="1" width="26.85546875" customWidth="1"/>
  </cols>
  <sheetData>
    <row r="1" spans="1:11" ht="26.25" x14ac:dyDescent="0.4">
      <c r="A1" s="9" t="s">
        <v>17</v>
      </c>
      <c r="B1" s="10"/>
      <c r="C1" s="10"/>
      <c r="D1" s="10"/>
      <c r="E1" s="10"/>
      <c r="F1" s="10"/>
      <c r="G1" s="10"/>
      <c r="H1" s="10"/>
      <c r="I1" s="10"/>
      <c r="J1" s="10"/>
      <c r="K1" s="10"/>
    </row>
    <row r="3" spans="1:11" x14ac:dyDescent="0.25">
      <c r="A3" t="s">
        <v>15</v>
      </c>
    </row>
    <row r="4" spans="1:11" x14ac:dyDescent="0.25">
      <c r="A4">
        <v>1</v>
      </c>
      <c r="B4" t="s">
        <v>27</v>
      </c>
    </row>
    <row r="5" spans="1:11" x14ac:dyDescent="0.25">
      <c r="A5">
        <v>2</v>
      </c>
      <c r="B5" t="s">
        <v>5</v>
      </c>
    </row>
    <row r="6" spans="1:11" x14ac:dyDescent="0.25">
      <c r="A6">
        <v>3</v>
      </c>
      <c r="B6" t="s">
        <v>19</v>
      </c>
    </row>
    <row r="7" spans="1:11" x14ac:dyDescent="0.25">
      <c r="A7">
        <v>4</v>
      </c>
      <c r="B7" t="s">
        <v>20</v>
      </c>
    </row>
    <row r="8" spans="1:11" x14ac:dyDescent="0.25">
      <c r="A8">
        <v>5</v>
      </c>
      <c r="B8" t="s">
        <v>18</v>
      </c>
    </row>
    <row r="9" spans="1:11" x14ac:dyDescent="0.25">
      <c r="A9">
        <v>6</v>
      </c>
      <c r="B9" t="s">
        <v>23</v>
      </c>
    </row>
    <row r="10" spans="1:11" x14ac:dyDescent="0.25">
      <c r="A10">
        <v>7</v>
      </c>
      <c r="B10" t="s">
        <v>21</v>
      </c>
    </row>
    <row r="11" spans="1:11" x14ac:dyDescent="0.25">
      <c r="A11">
        <v>8</v>
      </c>
      <c r="B11" t="s">
        <v>22</v>
      </c>
    </row>
    <row r="17" spans="1:11" x14ac:dyDescent="0.25">
      <c r="A17" t="s">
        <v>10</v>
      </c>
      <c r="C17" s="4">
        <v>13</v>
      </c>
    </row>
    <row r="20" spans="1:11" x14ac:dyDescent="0.25">
      <c r="A20" t="s">
        <v>0</v>
      </c>
      <c r="F20" t="s">
        <v>24</v>
      </c>
    </row>
    <row r="21" spans="1:11" x14ac:dyDescent="0.25">
      <c r="A21" s="7" t="s">
        <v>1</v>
      </c>
      <c r="B21" s="8">
        <v>1</v>
      </c>
      <c r="C21" s="8">
        <v>2</v>
      </c>
      <c r="D21" s="8">
        <v>3</v>
      </c>
      <c r="E21" s="8">
        <v>4</v>
      </c>
      <c r="F21" s="8">
        <v>5</v>
      </c>
      <c r="G21" s="8">
        <v>6</v>
      </c>
      <c r="H21" s="8">
        <v>7</v>
      </c>
      <c r="I21" s="8">
        <v>8</v>
      </c>
      <c r="J21" s="8">
        <v>9</v>
      </c>
      <c r="K21" s="8">
        <v>10</v>
      </c>
    </row>
    <row r="22" spans="1:11" x14ac:dyDescent="0.25">
      <c r="A22">
        <v>1</v>
      </c>
      <c r="B22" s="2">
        <v>25.2</v>
      </c>
      <c r="C22" s="2">
        <v>23.3</v>
      </c>
      <c r="D22" s="2">
        <v>26.5</v>
      </c>
      <c r="E22" s="2">
        <v>25.4</v>
      </c>
      <c r="F22" s="2">
        <v>25.9</v>
      </c>
      <c r="G22" s="2">
        <v>21.7</v>
      </c>
      <c r="H22" s="2">
        <v>25.4</v>
      </c>
      <c r="I22" s="2">
        <v>24.5</v>
      </c>
      <c r="J22" s="2">
        <v>24.7</v>
      </c>
      <c r="K22" s="2">
        <v>25</v>
      </c>
    </row>
    <row r="23" spans="1:11" x14ac:dyDescent="0.25">
      <c r="A23">
        <v>2</v>
      </c>
      <c r="B23" s="2">
        <v>23.7</v>
      </c>
      <c r="C23" s="2">
        <v>26.2</v>
      </c>
      <c r="D23" s="2">
        <v>27.4</v>
      </c>
      <c r="E23" s="2">
        <v>22.3</v>
      </c>
      <c r="F23" s="2">
        <v>22.7</v>
      </c>
      <c r="G23" s="2">
        <v>23.9</v>
      </c>
      <c r="H23" s="2">
        <v>22.2</v>
      </c>
      <c r="I23" s="2">
        <v>21.8</v>
      </c>
      <c r="J23" s="2">
        <v>26.2</v>
      </c>
      <c r="K23" s="2">
        <v>22.2</v>
      </c>
    </row>
    <row r="24" spans="1:11" x14ac:dyDescent="0.25">
      <c r="A24">
        <v>3</v>
      </c>
      <c r="B24" s="2">
        <v>22.5</v>
      </c>
      <c r="C24" s="2">
        <v>31</v>
      </c>
      <c r="D24" s="2">
        <v>22.6</v>
      </c>
      <c r="E24" s="2">
        <v>26.5</v>
      </c>
      <c r="F24" s="2">
        <v>30.1</v>
      </c>
      <c r="G24" s="2">
        <v>25.8</v>
      </c>
      <c r="H24" s="2">
        <v>24.9</v>
      </c>
      <c r="I24" s="2">
        <v>22.1</v>
      </c>
      <c r="J24" s="2">
        <v>21.1</v>
      </c>
      <c r="K24" s="2">
        <v>21.6</v>
      </c>
    </row>
    <row r="25" spans="1:11" x14ac:dyDescent="0.25">
      <c r="A25">
        <v>4</v>
      </c>
      <c r="B25" s="2">
        <v>21.6</v>
      </c>
      <c r="C25" s="2">
        <v>21.4</v>
      </c>
      <c r="D25" s="2">
        <v>17.5</v>
      </c>
      <c r="E25" s="2">
        <v>22.5</v>
      </c>
      <c r="F25" s="2">
        <v>21</v>
      </c>
      <c r="G25" s="2">
        <v>22.7</v>
      </c>
      <c r="H25" s="2">
        <v>23.3</v>
      </c>
      <c r="I25" s="2">
        <v>26.9</v>
      </c>
      <c r="J25" s="2">
        <v>19.399999999999999</v>
      </c>
      <c r="K25" s="2">
        <v>25.3</v>
      </c>
    </row>
    <row r="26" spans="1:11" x14ac:dyDescent="0.25">
      <c r="A26">
        <v>5</v>
      </c>
      <c r="B26" s="2">
        <v>17.399999999999999</v>
      </c>
      <c r="C26" s="2">
        <v>24.2</v>
      </c>
      <c r="D26" s="2">
        <v>22.1</v>
      </c>
      <c r="E26" s="2">
        <v>19.2</v>
      </c>
      <c r="F26" s="2">
        <v>22.8</v>
      </c>
      <c r="G26" s="2">
        <v>26.5</v>
      </c>
      <c r="H26" s="2">
        <v>22.3</v>
      </c>
      <c r="I26" s="2">
        <v>24.1</v>
      </c>
      <c r="J26" s="2">
        <v>24.8</v>
      </c>
      <c r="K26" s="2">
        <v>24.2</v>
      </c>
    </row>
    <row r="27" spans="1:11" x14ac:dyDescent="0.25">
      <c r="A27">
        <v>6</v>
      </c>
      <c r="B27" s="2">
        <v>23.9</v>
      </c>
      <c r="C27" s="2">
        <v>25.7</v>
      </c>
      <c r="D27" s="2">
        <v>25.7</v>
      </c>
      <c r="E27" s="2">
        <v>21.6</v>
      </c>
      <c r="F27" s="2">
        <v>24.4</v>
      </c>
      <c r="G27" s="2">
        <v>22.1</v>
      </c>
      <c r="H27" s="2">
        <v>25.5</v>
      </c>
      <c r="I27" s="2">
        <v>23.7</v>
      </c>
      <c r="J27" s="2">
        <v>23.1</v>
      </c>
      <c r="K27" s="2">
        <v>22.9</v>
      </c>
    </row>
    <row r="28" spans="1:11" x14ac:dyDescent="0.25">
      <c r="A28">
        <v>7</v>
      </c>
      <c r="B28" s="2">
        <v>25</v>
      </c>
      <c r="C28" s="2">
        <v>23.7</v>
      </c>
      <c r="D28" s="2">
        <v>26.1</v>
      </c>
      <c r="E28" s="2">
        <v>21.8</v>
      </c>
      <c r="F28" s="2">
        <v>25.1</v>
      </c>
      <c r="G28" s="2">
        <v>25.5</v>
      </c>
      <c r="H28" s="2">
        <v>21.2</v>
      </c>
      <c r="I28" s="2">
        <v>22.6</v>
      </c>
      <c r="J28" s="2">
        <v>25.9</v>
      </c>
      <c r="K28" s="2">
        <v>19.5</v>
      </c>
    </row>
    <row r="29" spans="1:11" x14ac:dyDescent="0.25">
      <c r="A29">
        <v>8</v>
      </c>
      <c r="B29" s="2">
        <v>26.5</v>
      </c>
      <c r="C29" s="2">
        <v>27.2</v>
      </c>
      <c r="D29" s="2">
        <v>25.8</v>
      </c>
      <c r="E29" s="2">
        <v>25.7</v>
      </c>
      <c r="F29" s="2">
        <v>23.3</v>
      </c>
      <c r="G29" s="2">
        <v>21.8</v>
      </c>
      <c r="H29" s="2">
        <v>22.9</v>
      </c>
      <c r="I29" s="2">
        <v>25.1</v>
      </c>
      <c r="J29" s="2">
        <v>22.3</v>
      </c>
      <c r="K29" s="2">
        <v>28.4</v>
      </c>
    </row>
    <row r="30" spans="1:11" x14ac:dyDescent="0.25">
      <c r="A30">
        <v>9</v>
      </c>
      <c r="B30" s="2">
        <v>24.7</v>
      </c>
      <c r="C30" s="2">
        <v>19.600000000000001</v>
      </c>
      <c r="D30" s="2">
        <v>23.7</v>
      </c>
      <c r="E30" s="2">
        <v>24.1</v>
      </c>
      <c r="F30" s="2">
        <v>22.6</v>
      </c>
      <c r="G30" s="2">
        <v>26.2</v>
      </c>
      <c r="H30" s="2">
        <v>25.5</v>
      </c>
      <c r="I30" s="2">
        <v>26.2</v>
      </c>
      <c r="J30" s="2">
        <v>21.2</v>
      </c>
      <c r="K30" s="2">
        <v>24.2</v>
      </c>
    </row>
    <row r="31" spans="1:11" x14ac:dyDescent="0.25">
      <c r="A31">
        <v>10</v>
      </c>
      <c r="B31" s="2">
        <v>22.3</v>
      </c>
      <c r="C31" s="2">
        <v>23.8</v>
      </c>
      <c r="D31" s="2">
        <v>22</v>
      </c>
      <c r="E31" s="2">
        <v>23.7</v>
      </c>
      <c r="F31" s="2">
        <v>25.2</v>
      </c>
      <c r="G31" s="2">
        <v>25.6</v>
      </c>
      <c r="H31" s="2">
        <v>21.8</v>
      </c>
      <c r="I31" s="2">
        <v>21.4</v>
      </c>
      <c r="J31" s="2">
        <v>20.2</v>
      </c>
      <c r="K31" s="2">
        <v>25.8</v>
      </c>
    </row>
    <row r="32" spans="1:11" x14ac:dyDescent="0.25">
      <c r="A32" t="s">
        <v>4</v>
      </c>
      <c r="B32" s="1">
        <f t="shared" ref="B32:J32" si="0">AVERAGE(B22:B31)</f>
        <v>23.28</v>
      </c>
      <c r="C32" s="1">
        <f t="shared" si="0"/>
        <v>24.61</v>
      </c>
      <c r="D32" s="1">
        <f t="shared" si="0"/>
        <v>23.939999999999998</v>
      </c>
      <c r="E32" s="1">
        <f t="shared" si="0"/>
        <v>23.279999999999998</v>
      </c>
      <c r="F32" s="1">
        <f t="shared" si="0"/>
        <v>24.309999999999995</v>
      </c>
      <c r="G32" s="1">
        <f t="shared" si="0"/>
        <v>24.18</v>
      </c>
      <c r="H32" s="1">
        <f t="shared" si="0"/>
        <v>23.5</v>
      </c>
      <c r="I32" s="1">
        <f t="shared" si="0"/>
        <v>23.839999999999996</v>
      </c>
      <c r="J32" s="1">
        <f t="shared" si="0"/>
        <v>22.89</v>
      </c>
      <c r="K32" s="1">
        <f>AVERAGE(K2:K31)</f>
        <v>22.645454545454548</v>
      </c>
    </row>
    <row r="33" spans="1:11" x14ac:dyDescent="0.25">
      <c r="A33" t="s">
        <v>14</v>
      </c>
      <c r="B33" s="12">
        <f>AVERAGE(B32:K32)</f>
        <v>23.647545454545455</v>
      </c>
      <c r="C33" s="12"/>
      <c r="D33" s="12"/>
      <c r="E33" s="12"/>
      <c r="F33" s="12"/>
      <c r="G33" s="12"/>
      <c r="H33" s="12"/>
      <c r="I33" s="12"/>
      <c r="J33" s="12"/>
      <c r="K33" s="12"/>
    </row>
    <row r="34" spans="1:11" x14ac:dyDescent="0.25">
      <c r="A34" t="s">
        <v>12</v>
      </c>
      <c r="B34" s="12">
        <f>STDEV(B22:B31)</f>
        <v>2.5507297430778855</v>
      </c>
      <c r="C34" s="12">
        <f t="shared" ref="C34:K34" si="1">STDEV(C22:C31)</f>
        <v>3.1627870972011647</v>
      </c>
      <c r="D34" s="12">
        <f t="shared" si="1"/>
        <v>2.9855950458456011</v>
      </c>
      <c r="E34" s="12">
        <f t="shared" si="1"/>
        <v>2.2309937994833899</v>
      </c>
      <c r="F34" s="12">
        <f t="shared" si="1"/>
        <v>2.5221022976873879</v>
      </c>
      <c r="G34" s="12">
        <f t="shared" si="1"/>
        <v>1.9509541825020447</v>
      </c>
      <c r="H34" s="12">
        <f t="shared" si="1"/>
        <v>1.6759740119968711</v>
      </c>
      <c r="I34" s="12">
        <f t="shared" si="1"/>
        <v>1.8774687451163834</v>
      </c>
      <c r="J34" s="12">
        <f t="shared" si="1"/>
        <v>2.4223267051879414</v>
      </c>
      <c r="K34" s="12">
        <f t="shared" si="1"/>
        <v>2.4888417654269088</v>
      </c>
    </row>
    <row r="35" spans="1:11" ht="15.75" x14ac:dyDescent="0.25">
      <c r="A35" t="s">
        <v>13</v>
      </c>
      <c r="B35" s="12">
        <f>AVERAGE(B34:K34)</f>
        <v>2.386777339352558</v>
      </c>
      <c r="C35" s="12"/>
      <c r="D35" s="13"/>
      <c r="E35" s="12"/>
      <c r="F35" s="12"/>
      <c r="G35" s="12"/>
      <c r="H35" s="12"/>
      <c r="I35" s="12"/>
      <c r="J35" s="12"/>
      <c r="K35" s="12"/>
    </row>
    <row r="38" spans="1:11" ht="15.75" x14ac:dyDescent="0.25">
      <c r="A38" s="3" t="s">
        <v>6</v>
      </c>
      <c r="B38" s="14">
        <f>B33</f>
        <v>23.647545454545455</v>
      </c>
    </row>
    <row r="39" spans="1:11" ht="15.75" x14ac:dyDescent="0.25">
      <c r="A39" s="3" t="s">
        <v>3</v>
      </c>
      <c r="B39" s="3">
        <f>B33+VLOOKUP(C17,B44:C57,2,FALSE)*B35</f>
        <v>25.676306192995128</v>
      </c>
      <c r="K39" s="11"/>
    </row>
    <row r="40" spans="1:11" ht="15.75" x14ac:dyDescent="0.25">
      <c r="A40" s="3" t="s">
        <v>2</v>
      </c>
      <c r="B40" s="3">
        <f>B33-VLOOKUP(C17,B44:C57,2,FALSE)*B35</f>
        <v>21.618784716095782</v>
      </c>
    </row>
    <row r="42" spans="1:11" ht="18" hidden="1" x14ac:dyDescent="0.35">
      <c r="B42" s="5" t="s">
        <v>7</v>
      </c>
      <c r="C42" s="5" t="s">
        <v>11</v>
      </c>
    </row>
    <row r="43" spans="1:11" hidden="1" x14ac:dyDescent="0.25">
      <c r="B43" s="5" t="s">
        <v>8</v>
      </c>
      <c r="C43" s="5" t="s">
        <v>9</v>
      </c>
    </row>
    <row r="44" spans="1:11" hidden="1" x14ac:dyDescent="0.25">
      <c r="B44">
        <v>12</v>
      </c>
      <c r="C44" s="6">
        <v>0.88600000000000001</v>
      </c>
    </row>
    <row r="45" spans="1:11" hidden="1" x14ac:dyDescent="0.25">
      <c r="B45">
        <v>13</v>
      </c>
      <c r="C45" s="6">
        <v>0.85</v>
      </c>
    </row>
    <row r="46" spans="1:11" hidden="1" x14ac:dyDescent="0.25">
      <c r="B46">
        <v>14</v>
      </c>
      <c r="C46" s="6">
        <v>0.81699999999999995</v>
      </c>
    </row>
    <row r="47" spans="1:11" hidden="1" x14ac:dyDescent="0.25">
      <c r="B47">
        <v>15</v>
      </c>
      <c r="C47" s="6">
        <v>0.78900000000000003</v>
      </c>
    </row>
    <row r="48" spans="1:11" hidden="1" x14ac:dyDescent="0.25">
      <c r="B48">
        <v>16</v>
      </c>
      <c r="C48" s="6">
        <v>0.76300000000000001</v>
      </c>
    </row>
    <row r="49" spans="1:3" hidden="1" x14ac:dyDescent="0.25">
      <c r="B49">
        <v>17</v>
      </c>
      <c r="C49" s="6">
        <v>0.73899999999999999</v>
      </c>
    </row>
    <row r="50" spans="1:3" hidden="1" x14ac:dyDescent="0.25">
      <c r="B50">
        <v>18</v>
      </c>
      <c r="C50" s="6">
        <v>0.71799999999999997</v>
      </c>
    </row>
    <row r="51" spans="1:3" hidden="1" x14ac:dyDescent="0.25">
      <c r="B51">
        <v>19</v>
      </c>
      <c r="C51" s="6">
        <v>0.69799999999999995</v>
      </c>
    </row>
    <row r="52" spans="1:3" hidden="1" x14ac:dyDescent="0.25">
      <c r="B52">
        <v>20</v>
      </c>
      <c r="C52" s="6">
        <v>0.68</v>
      </c>
    </row>
    <row r="53" spans="1:3" hidden="1" x14ac:dyDescent="0.25">
      <c r="B53">
        <v>21</v>
      </c>
      <c r="C53" s="6">
        <v>0.66300000000000003</v>
      </c>
    </row>
    <row r="54" spans="1:3" hidden="1" x14ac:dyDescent="0.25">
      <c r="B54">
        <v>22</v>
      </c>
      <c r="C54" s="6">
        <v>0.64700000000000002</v>
      </c>
    </row>
    <row r="55" spans="1:3" hidden="1" x14ac:dyDescent="0.25">
      <c r="B55">
        <v>23</v>
      </c>
      <c r="C55" s="6">
        <v>0.63300000000000001</v>
      </c>
    </row>
    <row r="56" spans="1:3" hidden="1" x14ac:dyDescent="0.25">
      <c r="B56">
        <v>24</v>
      </c>
      <c r="C56" s="6">
        <v>0.61899999999999999</v>
      </c>
    </row>
    <row r="57" spans="1:3" hidden="1" x14ac:dyDescent="0.25">
      <c r="B57">
        <v>25</v>
      </c>
      <c r="C57" s="6">
        <v>0.60599999999999998</v>
      </c>
    </row>
    <row r="59" spans="1:3" x14ac:dyDescent="0.25">
      <c r="A59" s="33" t="s">
        <v>26</v>
      </c>
    </row>
  </sheetData>
  <sheetProtection sheet="1" objects="1" scenarios="1" selectLockedCells="1" selectUnlockedCells="1"/>
  <pageMargins left="0.7" right="0.7" top="0.75" bottom="0.75" header="0.3" footer="0.3"/>
  <pageSetup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13427-57C0-4F3E-8D18-312AF20517F0}">
  <sheetPr codeName="Sheet3"/>
  <dimension ref="A1:K48"/>
  <sheetViews>
    <sheetView showGridLines="0" showRowColHeaders="0" tabSelected="1" workbookViewId="0">
      <selection activeCell="F1" sqref="F1"/>
    </sheetView>
  </sheetViews>
  <sheetFormatPr defaultRowHeight="15" x14ac:dyDescent="0.25"/>
  <cols>
    <col min="1" max="1" width="27.7109375" style="17" customWidth="1"/>
    <col min="2" max="2" width="9.5703125" style="17" customWidth="1"/>
    <col min="3" max="16384" width="9.140625" style="17"/>
  </cols>
  <sheetData>
    <row r="1" spans="1:11" ht="26.25" x14ac:dyDescent="0.4">
      <c r="A1" s="15" t="s">
        <v>16</v>
      </c>
      <c r="B1" s="16"/>
      <c r="C1" s="16"/>
      <c r="D1" s="16"/>
      <c r="E1" s="16"/>
      <c r="F1" s="16"/>
      <c r="G1" s="16"/>
      <c r="H1" s="16"/>
      <c r="I1" s="16"/>
      <c r="J1" s="16"/>
    </row>
    <row r="7" spans="1:11" x14ac:dyDescent="0.25">
      <c r="A7" s="29" t="s">
        <v>10</v>
      </c>
      <c r="B7" s="29"/>
      <c r="C7" s="18">
        <v>13</v>
      </c>
    </row>
    <row r="10" spans="1:11" x14ac:dyDescent="0.25">
      <c r="A10" s="29" t="s">
        <v>25</v>
      </c>
      <c r="D10" s="17" t="s">
        <v>24</v>
      </c>
    </row>
    <row r="11" spans="1:11" x14ac:dyDescent="0.25">
      <c r="A11" s="31" t="s">
        <v>1</v>
      </c>
      <c r="B11" s="32">
        <v>1</v>
      </c>
      <c r="C11" s="32">
        <v>2</v>
      </c>
      <c r="D11" s="32">
        <v>3</v>
      </c>
      <c r="E11" s="32">
        <v>4</v>
      </c>
      <c r="F11" s="32">
        <v>5</v>
      </c>
      <c r="G11" s="19"/>
      <c r="H11" s="19"/>
      <c r="I11" s="19"/>
      <c r="J11" s="19"/>
      <c r="K11" s="19"/>
    </row>
    <row r="12" spans="1:11" x14ac:dyDescent="0.25">
      <c r="A12" s="29">
        <v>1</v>
      </c>
      <c r="B12" s="20">
        <v>2.1</v>
      </c>
      <c r="C12" s="20">
        <v>0.5</v>
      </c>
      <c r="D12" s="20">
        <v>0.8</v>
      </c>
      <c r="E12" s="20">
        <v>0.2</v>
      </c>
      <c r="F12" s="20">
        <v>1.1000000000000001</v>
      </c>
      <c r="G12" s="20"/>
      <c r="H12" s="20"/>
      <c r="I12" s="20"/>
      <c r="J12" s="20"/>
      <c r="K12" s="20"/>
    </row>
    <row r="13" spans="1:11" x14ac:dyDescent="0.25">
      <c r="A13" s="29">
        <v>2</v>
      </c>
      <c r="B13" s="20">
        <v>1.5</v>
      </c>
      <c r="C13" s="20">
        <v>1.1000000000000001</v>
      </c>
      <c r="D13" s="20">
        <v>1.1000000000000001</v>
      </c>
      <c r="E13" s="20">
        <v>0.7</v>
      </c>
      <c r="F13" s="20">
        <v>0.2</v>
      </c>
      <c r="G13" s="20"/>
      <c r="H13" s="20"/>
      <c r="I13" s="20"/>
      <c r="J13" s="20"/>
      <c r="K13" s="20"/>
    </row>
    <row r="14" spans="1:11" x14ac:dyDescent="0.25">
      <c r="A14" s="29">
        <v>3</v>
      </c>
      <c r="B14" s="20">
        <v>3.2</v>
      </c>
      <c r="C14" s="20">
        <v>2</v>
      </c>
      <c r="D14" s="20">
        <v>1.4</v>
      </c>
      <c r="E14" s="20">
        <v>1.1000000000000001</v>
      </c>
      <c r="F14" s="20">
        <v>0.5</v>
      </c>
      <c r="G14" s="20"/>
      <c r="H14" s="20"/>
      <c r="I14" s="20"/>
      <c r="J14" s="20"/>
      <c r="K14" s="20"/>
    </row>
    <row r="15" spans="1:11" x14ac:dyDescent="0.25">
      <c r="A15" s="29">
        <v>4</v>
      </c>
      <c r="B15" s="20">
        <v>0.4</v>
      </c>
      <c r="C15" s="20">
        <v>1.6</v>
      </c>
      <c r="D15" s="20">
        <v>0.5</v>
      </c>
      <c r="E15" s="20">
        <v>2.2999999999999998</v>
      </c>
      <c r="F15" s="20">
        <v>0.9</v>
      </c>
      <c r="G15" s="20"/>
      <c r="H15" s="20"/>
      <c r="I15" s="20"/>
    </row>
    <row r="16" spans="1:11" x14ac:dyDescent="0.25">
      <c r="A16" s="29">
        <v>5</v>
      </c>
      <c r="B16" s="20">
        <v>0.5</v>
      </c>
      <c r="C16" s="20">
        <v>1.4</v>
      </c>
      <c r="D16" s="20">
        <v>1.7</v>
      </c>
      <c r="E16" s="20">
        <v>1.5</v>
      </c>
      <c r="F16" s="20">
        <v>1.4</v>
      </c>
      <c r="G16" s="20"/>
      <c r="H16" s="20"/>
      <c r="I16" s="20"/>
    </row>
    <row r="17" spans="1:11" x14ac:dyDescent="0.25">
      <c r="A17" s="29">
        <v>6</v>
      </c>
      <c r="B17" s="20">
        <v>1.1000000000000001</v>
      </c>
      <c r="C17" s="20">
        <v>0.5</v>
      </c>
      <c r="D17" s="20">
        <v>2.1</v>
      </c>
      <c r="E17" s="20">
        <v>0.9</v>
      </c>
      <c r="F17" s="20">
        <v>1.1000000000000001</v>
      </c>
      <c r="G17" s="20"/>
      <c r="H17" s="20"/>
      <c r="I17" s="20"/>
    </row>
    <row r="18" spans="1:11" x14ac:dyDescent="0.25">
      <c r="A18" s="29">
        <v>7</v>
      </c>
      <c r="B18" s="20">
        <v>1.6</v>
      </c>
      <c r="C18" s="20">
        <v>1</v>
      </c>
      <c r="D18" s="20">
        <v>1.1000000000000001</v>
      </c>
      <c r="E18" s="20">
        <v>1.3</v>
      </c>
      <c r="F18" s="20">
        <v>0.5</v>
      </c>
      <c r="G18" s="20"/>
      <c r="H18" s="20"/>
      <c r="I18" s="20"/>
      <c r="J18" s="20"/>
      <c r="K18" s="20"/>
    </row>
    <row r="19" spans="1:11" x14ac:dyDescent="0.25">
      <c r="A19" s="29">
        <v>8</v>
      </c>
      <c r="B19" s="20">
        <v>2.1</v>
      </c>
      <c r="C19" s="20">
        <v>1.8</v>
      </c>
      <c r="D19" s="20">
        <v>0.7</v>
      </c>
      <c r="E19" s="20">
        <v>1.7</v>
      </c>
      <c r="F19" s="20">
        <v>2.2000000000000002</v>
      </c>
      <c r="G19" s="20"/>
      <c r="H19" s="20"/>
      <c r="I19" s="20"/>
      <c r="J19" s="20"/>
      <c r="K19" s="20"/>
    </row>
    <row r="20" spans="1:11" x14ac:dyDescent="0.25">
      <c r="A20" s="29">
        <v>9</v>
      </c>
      <c r="B20" s="20">
        <v>1.4</v>
      </c>
      <c r="C20" s="20">
        <v>2</v>
      </c>
      <c r="D20" s="20">
        <v>1.5</v>
      </c>
      <c r="E20" s="20">
        <v>2.4</v>
      </c>
      <c r="F20" s="20">
        <v>1.7</v>
      </c>
      <c r="G20" s="20"/>
      <c r="H20" s="20"/>
      <c r="I20" s="20"/>
      <c r="J20" s="20"/>
      <c r="K20" s="20"/>
    </row>
    <row r="21" spans="1:11" x14ac:dyDescent="0.25">
      <c r="A21" s="29">
        <v>10</v>
      </c>
      <c r="B21" s="20">
        <v>0.3</v>
      </c>
      <c r="C21" s="20">
        <v>1</v>
      </c>
      <c r="D21" s="20">
        <v>2.2999999999999998</v>
      </c>
      <c r="E21" s="20">
        <v>1.3</v>
      </c>
      <c r="F21" s="20">
        <v>0.5</v>
      </c>
      <c r="G21" s="20"/>
      <c r="H21" s="20"/>
      <c r="I21" s="20"/>
      <c r="J21" s="20"/>
      <c r="K21" s="20"/>
    </row>
    <row r="22" spans="1:11" x14ac:dyDescent="0.25">
      <c r="A22" s="29" t="s">
        <v>4</v>
      </c>
      <c r="B22" s="27">
        <f>IF(B12="","",AVERAGE(B12:B21))</f>
        <v>1.4200000000000002</v>
      </c>
      <c r="C22" s="27">
        <f>IF(C12="","",AVERAGE(C12:C21))</f>
        <v>1.29</v>
      </c>
      <c r="D22" s="27">
        <f>IF(D12="","",AVERAGE(D12:D21))</f>
        <v>1.3199999999999998</v>
      </c>
      <c r="E22" s="27">
        <f>IF(E12="","",AVERAGE(E12:E21))</f>
        <v>1.34</v>
      </c>
      <c r="F22" s="27">
        <f>IF(F12="","",AVERAGE(F12:F21))</f>
        <v>1.01</v>
      </c>
      <c r="G22" s="21"/>
      <c r="H22" s="21"/>
      <c r="I22" s="21"/>
      <c r="J22" s="21"/>
      <c r="K22" s="21"/>
    </row>
    <row r="23" spans="1:11" x14ac:dyDescent="0.25">
      <c r="A23" s="29" t="s">
        <v>14</v>
      </c>
      <c r="B23" s="29">
        <f>IF(B22="","",AVERAGE(B22:F22))</f>
        <v>1.2759999999999998</v>
      </c>
    </row>
    <row r="24" spans="1:11" x14ac:dyDescent="0.25">
      <c r="A24" s="29" t="s">
        <v>12</v>
      </c>
      <c r="B24" s="28">
        <f>IF(B13="","",STDEV(B12:B21))</f>
        <v>0.90529307716095775</v>
      </c>
      <c r="C24" s="28">
        <f t="shared" ref="C24:F24" si="0">IF(C13="","",STDEV(C12:C21))</f>
        <v>0.56065437957206166</v>
      </c>
      <c r="D24" s="28">
        <f t="shared" si="0"/>
        <v>0.59404451759854593</v>
      </c>
      <c r="E24" s="28">
        <f t="shared" si="0"/>
        <v>0.6801960501698513</v>
      </c>
      <c r="F24" s="28">
        <f t="shared" si="0"/>
        <v>0.62441083341730153</v>
      </c>
      <c r="G24" s="20"/>
      <c r="H24" s="20"/>
      <c r="I24" s="20"/>
      <c r="J24" s="20"/>
      <c r="K24" s="20"/>
    </row>
    <row r="25" spans="1:11" ht="15.75" x14ac:dyDescent="0.25">
      <c r="A25" s="29" t="s">
        <v>13</v>
      </c>
      <c r="B25" s="28">
        <f>IF(B13="","",AVERAGE(B24:F24))</f>
        <v>0.67291977158374361</v>
      </c>
      <c r="C25" s="20"/>
      <c r="D25" s="22"/>
    </row>
    <row r="28" spans="1:11" ht="15.75" x14ac:dyDescent="0.25">
      <c r="A28" s="23" t="s">
        <v>6</v>
      </c>
      <c r="B28" s="30">
        <f>B23</f>
        <v>1.2759999999999998</v>
      </c>
    </row>
    <row r="29" spans="1:11" ht="15.75" x14ac:dyDescent="0.25">
      <c r="A29" s="23" t="s">
        <v>3</v>
      </c>
      <c r="B29" s="30">
        <f>IF(B25="","",(B23+VLOOKUP(C7,B34:C47,2,FALSE)*B25))</f>
        <v>1.8479818058461819</v>
      </c>
      <c r="K29" s="24"/>
    </row>
    <row r="30" spans="1:11" ht="15.75" x14ac:dyDescent="0.25">
      <c r="A30" s="23" t="s">
        <v>2</v>
      </c>
      <c r="B30" s="30">
        <f>IF(B25="","",(B23-VLOOKUP(C7,B34:C47,2,FALSE)*B25))</f>
        <v>0.70401819415381772</v>
      </c>
    </row>
    <row r="32" spans="1:11" ht="18" hidden="1" x14ac:dyDescent="0.35">
      <c r="B32" s="25" t="s">
        <v>7</v>
      </c>
      <c r="C32" s="25" t="s">
        <v>11</v>
      </c>
    </row>
    <row r="33" spans="1:3" hidden="1" x14ac:dyDescent="0.25">
      <c r="B33" s="25" t="s">
        <v>8</v>
      </c>
      <c r="C33" s="25" t="s">
        <v>9</v>
      </c>
    </row>
    <row r="34" spans="1:3" hidden="1" x14ac:dyDescent="0.25">
      <c r="B34" s="17">
        <v>12</v>
      </c>
      <c r="C34" s="26">
        <v>0.88600000000000001</v>
      </c>
    </row>
    <row r="35" spans="1:3" hidden="1" x14ac:dyDescent="0.25">
      <c r="B35" s="17">
        <v>13</v>
      </c>
      <c r="C35" s="26">
        <v>0.85</v>
      </c>
    </row>
    <row r="36" spans="1:3" hidden="1" x14ac:dyDescent="0.25">
      <c r="B36" s="17">
        <v>14</v>
      </c>
      <c r="C36" s="26">
        <v>0.81699999999999995</v>
      </c>
    </row>
    <row r="37" spans="1:3" hidden="1" x14ac:dyDescent="0.25">
      <c r="B37" s="17">
        <v>15</v>
      </c>
      <c r="C37" s="26">
        <v>0.78900000000000003</v>
      </c>
    </row>
    <row r="38" spans="1:3" hidden="1" x14ac:dyDescent="0.25">
      <c r="B38" s="17">
        <v>16</v>
      </c>
      <c r="C38" s="26">
        <v>0.76300000000000001</v>
      </c>
    </row>
    <row r="39" spans="1:3" hidden="1" x14ac:dyDescent="0.25">
      <c r="B39" s="17">
        <v>17</v>
      </c>
      <c r="C39" s="26">
        <v>0.73899999999999999</v>
      </c>
    </row>
    <row r="40" spans="1:3" hidden="1" x14ac:dyDescent="0.25">
      <c r="B40" s="17">
        <v>18</v>
      </c>
      <c r="C40" s="26">
        <v>0.71799999999999997</v>
      </c>
    </row>
    <row r="41" spans="1:3" hidden="1" x14ac:dyDescent="0.25">
      <c r="B41" s="17">
        <v>19</v>
      </c>
      <c r="C41" s="26">
        <v>0.69799999999999995</v>
      </c>
    </row>
    <row r="42" spans="1:3" hidden="1" x14ac:dyDescent="0.25">
      <c r="B42" s="17">
        <v>20</v>
      </c>
      <c r="C42" s="26">
        <v>0.68</v>
      </c>
    </row>
    <row r="43" spans="1:3" hidden="1" x14ac:dyDescent="0.25">
      <c r="B43" s="17">
        <v>21</v>
      </c>
      <c r="C43" s="26">
        <v>0.66300000000000003</v>
      </c>
    </row>
    <row r="44" spans="1:3" hidden="1" x14ac:dyDescent="0.25">
      <c r="B44" s="17">
        <v>22</v>
      </c>
      <c r="C44" s="26">
        <v>0.64700000000000002</v>
      </c>
    </row>
    <row r="45" spans="1:3" hidden="1" x14ac:dyDescent="0.25">
      <c r="B45" s="17">
        <v>23</v>
      </c>
      <c r="C45" s="26">
        <v>0.63300000000000001</v>
      </c>
    </row>
    <row r="46" spans="1:3" hidden="1" x14ac:dyDescent="0.25">
      <c r="B46" s="17">
        <v>24</v>
      </c>
      <c r="C46" s="26">
        <v>0.61899999999999999</v>
      </c>
    </row>
    <row r="47" spans="1:3" hidden="1" x14ac:dyDescent="0.25">
      <c r="B47" s="17">
        <v>25</v>
      </c>
      <c r="C47" s="26">
        <v>0.60599999999999998</v>
      </c>
    </row>
    <row r="48" spans="1:3" x14ac:dyDescent="0.25">
      <c r="A48" s="33" t="s">
        <v>26</v>
      </c>
    </row>
  </sheetData>
  <sheetProtection sheet="1" selectLockedCells="1"/>
  <pageMargins left="0.7" right="0.7" top="0.75" bottom="0.75" header="0.3" footer="0.3"/>
  <pageSetup orientation="landscape"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Example</vt:lpstr>
      <vt:lpstr>5 Preliminary Sample Template</vt:lpstr>
      <vt:lpstr>'5 Preliminary Sample Template'!OLE_LINK1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bshore</dc:creator>
  <cp:lastModifiedBy>bshore</cp:lastModifiedBy>
  <cp:lastPrinted>2018-04-24T13:28:31Z</cp:lastPrinted>
  <dcterms:created xsi:type="dcterms:W3CDTF">2018-03-31T20:56:50Z</dcterms:created>
  <dcterms:modified xsi:type="dcterms:W3CDTF">2018-12-30T18:46:32Z</dcterms:modified>
</cp:coreProperties>
</file>