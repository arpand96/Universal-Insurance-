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defaultThemeVersion="166925"/>
  <mc:AlternateContent xmlns:mc="http://schemas.openxmlformats.org/markup-compatibility/2006">
    <mc:Choice Requires="x15">
      <x15ac:absPath xmlns:x15ac="http://schemas.microsoft.com/office/spreadsheetml/2010/11/ac" url="H:\Books\SSGI\Black Belt\Project\Solutions Project Templates\"/>
    </mc:Choice>
  </mc:AlternateContent>
  <xr:revisionPtr revIDLastSave="0" documentId="8_{64980D93-8C8E-48B3-A7CB-ADD6875B9194}" xr6:coauthVersionLast="40" xr6:coauthVersionMax="40" xr10:uidLastSave="{00000000-0000-0000-0000-000000000000}"/>
  <bookViews>
    <workbookView xWindow="0" yWindow="0" windowWidth="20490" windowHeight="6930" activeTab="2" xr2:uid="{9B1E9C29-E769-43FD-AE58-12316D8F7534}"/>
  </bookViews>
  <sheets>
    <sheet name="Introduction" sheetId="1" r:id="rId1"/>
    <sheet name="Example" sheetId="4" r:id="rId2"/>
    <sheet name="Template" sheetId="5"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21" i="5" l="1"/>
  <c r="F22" i="5"/>
  <c r="F23" i="5"/>
  <c r="F20" i="5"/>
  <c r="E32" i="5"/>
  <c r="E33" i="5"/>
  <c r="F16" i="5" l="1"/>
  <c r="F17" i="5"/>
  <c r="F18" i="5"/>
  <c r="F19" i="5"/>
  <c r="F28" i="4" l="1"/>
  <c r="F25" i="4"/>
  <c r="F26" i="4"/>
  <c r="F27" i="4"/>
  <c r="F24" i="4"/>
  <c r="G45" i="5" l="1"/>
  <c r="F45" i="5"/>
  <c r="E45" i="5"/>
  <c r="D45" i="5"/>
  <c r="C45" i="5"/>
  <c r="G44" i="5"/>
  <c r="F44" i="5"/>
  <c r="E44" i="5"/>
  <c r="D44" i="5"/>
  <c r="C44" i="5"/>
  <c r="G43" i="5"/>
  <c r="F43" i="5"/>
  <c r="E43" i="5"/>
  <c r="D43" i="5"/>
  <c r="C43" i="5"/>
  <c r="G42" i="5"/>
  <c r="F42" i="5"/>
  <c r="E42" i="5"/>
  <c r="D42" i="5"/>
  <c r="C42" i="5"/>
  <c r="G41" i="5"/>
  <c r="F41" i="5"/>
  <c r="E41" i="5"/>
  <c r="D41" i="5"/>
  <c r="G38" i="5"/>
  <c r="F38" i="5"/>
  <c r="E38" i="5"/>
  <c r="D38" i="5"/>
  <c r="E31" i="5"/>
  <c r="E30" i="5"/>
  <c r="G23" i="5"/>
  <c r="C23" i="5"/>
  <c r="B23" i="5"/>
  <c r="G22" i="5"/>
  <c r="C22" i="5"/>
  <c r="B22" i="5"/>
  <c r="G21" i="5"/>
  <c r="C21" i="5"/>
  <c r="B21" i="5"/>
  <c r="G20" i="5"/>
  <c r="C20" i="5"/>
  <c r="B20" i="5"/>
  <c r="G19" i="5"/>
  <c r="C19" i="5"/>
  <c r="B19" i="5"/>
  <c r="G18" i="5"/>
  <c r="C18" i="5"/>
  <c r="B18" i="5"/>
  <c r="G17" i="5"/>
  <c r="C17" i="5"/>
  <c r="B17" i="5"/>
  <c r="G16" i="5"/>
  <c r="C16" i="5"/>
  <c r="B16" i="5"/>
  <c r="H43" i="5" l="1"/>
  <c r="H45" i="5"/>
  <c r="H44" i="5"/>
  <c r="H42" i="5"/>
  <c r="C28" i="4"/>
  <c r="C29" i="4"/>
  <c r="C30" i="4"/>
  <c r="C31" i="4"/>
  <c r="G58" i="4" l="1"/>
  <c r="F58" i="4"/>
  <c r="E58" i="4"/>
  <c r="D58" i="4"/>
  <c r="C58" i="4"/>
  <c r="G57" i="4"/>
  <c r="F57" i="4"/>
  <c r="E57" i="4"/>
  <c r="D57" i="4"/>
  <c r="C57" i="4"/>
  <c r="G56" i="4"/>
  <c r="F56" i="4"/>
  <c r="E56" i="4"/>
  <c r="D56" i="4"/>
  <c r="C56" i="4"/>
  <c r="G55" i="4"/>
  <c r="F55" i="4"/>
  <c r="E55" i="4"/>
  <c r="D55" i="4"/>
  <c r="C55" i="4"/>
  <c r="G54" i="4"/>
  <c r="F54" i="4"/>
  <c r="E54" i="4"/>
  <c r="D54" i="4"/>
  <c r="G51" i="4"/>
  <c r="F51" i="4"/>
  <c r="E51" i="4"/>
  <c r="D51" i="4"/>
  <c r="E45" i="4"/>
  <c r="E44" i="4"/>
  <c r="E43" i="4"/>
  <c r="E42" i="4"/>
  <c r="G31" i="4"/>
  <c r="F31" i="4"/>
  <c r="B31" i="4"/>
  <c r="G30" i="4"/>
  <c r="F30" i="4"/>
  <c r="B30" i="4"/>
  <c r="G29" i="4"/>
  <c r="F29" i="4"/>
  <c r="B29" i="4"/>
  <c r="G28" i="4"/>
  <c r="B28" i="4"/>
  <c r="G27" i="4"/>
  <c r="C27" i="4"/>
  <c r="B27" i="4"/>
  <c r="G26" i="4"/>
  <c r="C26" i="4"/>
  <c r="B26" i="4"/>
  <c r="G25" i="4"/>
  <c r="C25" i="4"/>
  <c r="B25" i="4"/>
  <c r="G24" i="4"/>
  <c r="C24" i="4"/>
  <c r="B24" i="4"/>
  <c r="H58" i="4" l="1"/>
  <c r="H55" i="4"/>
  <c r="H57" i="4"/>
  <c r="H56" i="4"/>
</calcChain>
</file>

<file path=xl/sharedStrings.xml><?xml version="1.0" encoding="utf-8"?>
<sst xmlns="http://schemas.openxmlformats.org/spreadsheetml/2006/main" count="64" uniqueCount="35">
  <si>
    <t>X-Y Matrix</t>
  </si>
  <si>
    <t>INPUTS (X)</t>
  </si>
  <si>
    <t>OUTPUTS (Y)</t>
  </si>
  <si>
    <t>Input 1</t>
  </si>
  <si>
    <t>Input 2</t>
  </si>
  <si>
    <t>Input 4</t>
  </si>
  <si>
    <t>Input 3</t>
  </si>
  <si>
    <t>Output 1</t>
  </si>
  <si>
    <t>Output 2</t>
  </si>
  <si>
    <t>Output 3</t>
  </si>
  <si>
    <t>Output 4</t>
  </si>
  <si>
    <t>Input</t>
  </si>
  <si>
    <t>Output</t>
  </si>
  <si>
    <t>Impact</t>
  </si>
  <si>
    <t>Total</t>
  </si>
  <si>
    <t>Importance</t>
  </si>
  <si>
    <t>Design</t>
  </si>
  <si>
    <t>Quality</t>
  </si>
  <si>
    <t>Cost</t>
  </si>
  <si>
    <t>Skills</t>
  </si>
  <si>
    <t>Sales</t>
  </si>
  <si>
    <t>Repeat</t>
  </si>
  <si>
    <t>Social</t>
  </si>
  <si>
    <t>Returns</t>
  </si>
  <si>
    <t>Inputs</t>
  </si>
  <si>
    <t>Outputs</t>
  </si>
  <si>
    <t xml:space="preserve">      X-Y Matrix</t>
  </si>
  <si>
    <t xml:space="preserve">     LEVEL OF IMPORTANCE</t>
  </si>
  <si>
    <t>@2019 SSGI. For Personal Use Only. Other Uses Require Written Permission.</t>
  </si>
  <si>
    <t>Satisfaction</t>
  </si>
  <si>
    <t>Training</t>
  </si>
  <si>
    <t>Salary</t>
  </si>
  <si>
    <t>Website</t>
  </si>
  <si>
    <t>Returning</t>
  </si>
  <si>
    <t>Revenue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</si>
</sst>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20"/>
      <color theme="1"/>
      <name val="Calibri"/>
      <family val="2"/>
      <scheme val="minor"/>
    </font>
    <font>
      <sz val="8"/>
      <color theme="1"/>
      <name val="Calibri"/>
      <family val="2"/>
      <scheme val="minor"/>
    </font>
  </fonts>
  <fills count="7">
    <fill>
      <patternFill patternType="none"/>
    </fill>
    <fill>
      <patternFill patternType="gray125"/>
    </fill>
    <fill>
      <patternFill patternType="solid">
        <fgColor theme="5" tint="0.79998168889431442"/>
        <bgColor indexed="64"/>
      </patternFill>
    </fill>
    <fill>
      <patternFill patternType="solid">
        <fgColor theme="7" tint="0.59999389629810485"/>
        <bgColor indexed="64"/>
      </patternFill>
    </fill>
    <fill>
      <patternFill patternType="solid">
        <fgColor rgb="FFFFCCFF"/>
        <bgColor indexed="64"/>
      </patternFill>
    </fill>
    <fill>
      <patternFill patternType="solid">
        <fgColor theme="9" tint="0.79998168889431442"/>
        <bgColor indexed="64"/>
      </patternFill>
    </fill>
    <fill>
      <patternFill patternType="solid">
        <fgColor theme="0"/>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39">
    <xf numFmtId="0" fontId="0" fillId="0" borderId="0" xfId="0"/>
    <xf numFmtId="0" fontId="1" fillId="2" borderId="0" xfId="0" applyFont="1" applyFill="1"/>
    <xf numFmtId="0" fontId="0" fillId="2" borderId="0" xfId="0" applyFill="1"/>
    <xf numFmtId="0" fontId="0" fillId="0" borderId="0" xfId="0" applyFill="1"/>
    <xf numFmtId="0" fontId="0" fillId="4" borderId="0" xfId="0" applyFill="1"/>
    <xf numFmtId="0" fontId="0" fillId="4" borderId="0" xfId="0" applyFill="1" applyBorder="1"/>
    <xf numFmtId="0" fontId="0" fillId="3" borderId="1" xfId="0" applyFill="1" applyBorder="1" applyAlignment="1">
      <alignment horizontal="center"/>
    </xf>
    <xf numFmtId="0" fontId="0" fillId="4" borderId="1" xfId="0" applyFill="1" applyBorder="1" applyAlignment="1">
      <alignment horizontal="center"/>
    </xf>
    <xf numFmtId="0" fontId="0" fillId="0" borderId="1" xfId="0" applyBorder="1"/>
    <xf numFmtId="0" fontId="0" fillId="0" borderId="0" xfId="0" applyAlignment="1">
      <alignment horizontal="left"/>
    </xf>
    <xf numFmtId="0" fontId="0" fillId="5" borderId="1" xfId="0" applyFill="1" applyBorder="1"/>
    <xf numFmtId="0" fontId="0" fillId="0" borderId="0" xfId="0" applyFill="1" applyBorder="1" applyAlignment="1">
      <alignment horizontal="center"/>
    </xf>
    <xf numFmtId="0" fontId="0" fillId="0" borderId="0" xfId="0" applyFill="1" applyBorder="1"/>
    <xf numFmtId="0" fontId="0" fillId="0" borderId="0" xfId="0" applyAlignment="1">
      <alignment horizontal="center"/>
    </xf>
    <xf numFmtId="0" fontId="0" fillId="6" borderId="0" xfId="0" applyFill="1"/>
    <xf numFmtId="0" fontId="1" fillId="0" borderId="0" xfId="0" applyFont="1" applyFill="1"/>
    <xf numFmtId="0" fontId="0" fillId="5" borderId="1" xfId="0" applyFill="1" applyBorder="1" applyAlignment="1">
      <alignment horizontal="center"/>
    </xf>
    <xf numFmtId="0" fontId="1" fillId="4" borderId="0" xfId="0" applyFont="1" applyFill="1"/>
    <xf numFmtId="0" fontId="0" fillId="0" borderId="0" xfId="0" applyProtection="1">
      <protection locked="0"/>
    </xf>
    <xf numFmtId="0" fontId="0" fillId="0" borderId="0" xfId="0" applyFill="1" applyProtection="1">
      <protection locked="0"/>
    </xf>
    <xf numFmtId="0" fontId="0" fillId="4" borderId="0" xfId="0" applyFill="1" applyProtection="1">
      <protection locked="0"/>
    </xf>
    <xf numFmtId="0" fontId="1" fillId="4" borderId="0" xfId="0" applyFont="1" applyFill="1" applyProtection="1">
      <protection locked="0"/>
    </xf>
    <xf numFmtId="0" fontId="1" fillId="0" borderId="0" xfId="0" applyFont="1" applyFill="1" applyProtection="1">
      <protection locked="0"/>
    </xf>
    <xf numFmtId="0" fontId="0" fillId="5" borderId="1" xfId="0" applyFill="1" applyBorder="1" applyProtection="1">
      <protection locked="0"/>
    </xf>
    <xf numFmtId="0" fontId="0" fillId="0" borderId="0" xfId="0" applyAlignment="1" applyProtection="1">
      <alignment horizontal="center"/>
      <protection locked="0"/>
    </xf>
    <xf numFmtId="0" fontId="0" fillId="5" borderId="1" xfId="0" applyFill="1" applyBorder="1" applyAlignment="1" applyProtection="1">
      <alignment horizontal="center"/>
      <protection locked="0"/>
    </xf>
    <xf numFmtId="0" fontId="0" fillId="0" borderId="1" xfId="0" applyBorder="1" applyProtection="1">
      <protection locked="0"/>
    </xf>
    <xf numFmtId="0" fontId="0" fillId="0" borderId="0" xfId="0" applyFill="1" applyBorder="1" applyAlignment="1" applyProtection="1">
      <alignment horizontal="center"/>
      <protection locked="0"/>
    </xf>
    <xf numFmtId="0" fontId="0" fillId="0" borderId="0" xfId="0" applyFill="1" applyBorder="1" applyProtection="1">
      <protection locked="0"/>
    </xf>
    <xf numFmtId="0" fontId="0" fillId="2" borderId="0" xfId="0" applyFill="1" applyProtection="1">
      <protection locked="0"/>
    </xf>
    <xf numFmtId="0" fontId="0" fillId="0" borderId="0" xfId="0" applyAlignment="1" applyProtection="1">
      <alignment horizontal="left"/>
      <protection locked="0"/>
    </xf>
    <xf numFmtId="0" fontId="0" fillId="4" borderId="1" xfId="0" applyFill="1" applyBorder="1" applyAlignment="1" applyProtection="1">
      <alignment horizontal="center"/>
    </xf>
    <xf numFmtId="0" fontId="0" fillId="3" borderId="1" xfId="0" applyFill="1" applyBorder="1" applyAlignment="1" applyProtection="1">
      <alignment horizontal="center"/>
    </xf>
    <xf numFmtId="0" fontId="0" fillId="0" borderId="0" xfId="0" applyFill="1" applyBorder="1" applyAlignment="1" applyProtection="1">
      <alignment horizontal="center"/>
    </xf>
    <xf numFmtId="0" fontId="0" fillId="4" borderId="0" xfId="0" applyFill="1" applyProtection="1"/>
    <xf numFmtId="0" fontId="0" fillId="4" borderId="0" xfId="0" applyFill="1" applyBorder="1" applyProtection="1"/>
    <xf numFmtId="0" fontId="0" fillId="0" borderId="0" xfId="0" applyAlignment="1" applyProtection="1">
      <alignment horizontal="center"/>
    </xf>
    <xf numFmtId="0" fontId="0" fillId="2" borderId="0" xfId="0" applyFill="1" applyProtection="1"/>
    <xf numFmtId="0" fontId="2" fillId="0" borderId="0" xfId="0" applyFont="1" applyAlignment="1">
      <alignment vertical="center"/>
    </xf>
  </cellXfs>
  <cellStyles count="1">
    <cellStyle name="Normal" xfId="0" builtinId="0"/>
  </cellStyles>
  <dxfs count="0"/>
  <tableStyles count="0" defaultTableStyle="TableStyleMedium2" defaultPivotStyle="PivotStyleLight16"/>
  <colors>
    <mruColors>
      <color rgb="FFFFCCFF"/>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0</xdr:col>
      <xdr:colOff>38100</xdr:colOff>
      <xdr:row>2</xdr:row>
      <xdr:rowOff>85724</xdr:rowOff>
    </xdr:from>
    <xdr:to>
      <xdr:col>9</xdr:col>
      <xdr:colOff>533400</xdr:colOff>
      <xdr:row>16</xdr:row>
      <xdr:rowOff>57150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38100" y="609599"/>
          <a:ext cx="5981700" cy="2638426"/>
        </a:xfrm>
        <a:prstGeom prst="rect">
          <a:avLst/>
        </a:prstGeom>
        <a:solidFill>
          <a:schemeClr val="accent2">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Processes</a:t>
          </a:r>
          <a:r>
            <a:rPr lang="en-US" sz="1100" baseline="0"/>
            <a:t> have inputs (X) and outputs (Y). When undertaking process analysis with the intention of improving process output, it is very important to begin by identifying all process inputs and outputs.  Next an X-Y  Matrix is built to determine how much each input impacts process output.  Those that impact output the most would be targets for a process improvement project.</a:t>
          </a:r>
        </a:p>
        <a:p>
          <a:endParaRPr lang="en-US" sz="1100" baseline="0"/>
        </a:p>
        <a:p>
          <a:r>
            <a:rPr lang="en-US" sz="1100" baseline="0"/>
            <a:t>The X-Y matrix is a model that helps organize this effort. It identifies inputs down the first column and outputs across the top row. Then it compares the impact of these inputs on process output.</a:t>
          </a:r>
          <a:endParaRPr lang="en-US" sz="1100" b="1" baseline="0"/>
        </a:p>
        <a:p>
          <a:endParaRPr lang="en-US" sz="1100" baseline="0"/>
        </a:p>
        <a:p>
          <a:r>
            <a:rPr lang="en-US" sz="1100" baseline="0"/>
            <a:t>Including an X-Y matrix in a project proposal, either in the Business Plan or Project Charter, provides significant credibility to the substance of the proposal.</a:t>
          </a:r>
        </a:p>
        <a:p>
          <a:endParaRPr lang="en-US" sz="1100" baseline="0"/>
        </a:p>
        <a:p>
          <a:endParaRPr lang="en-US" sz="1100"/>
        </a:p>
      </xdr:txBody>
    </xdr:sp>
    <xdr:clientData/>
  </xdr:twoCellAnchor>
  <xdr:twoCellAnchor editAs="oneCell">
    <xdr:from>
      <xdr:col>0</xdr:col>
      <xdr:colOff>133351</xdr:colOff>
      <xdr:row>18</xdr:row>
      <xdr:rowOff>47625</xdr:rowOff>
    </xdr:from>
    <xdr:to>
      <xdr:col>9</xdr:col>
      <xdr:colOff>476251</xdr:colOff>
      <xdr:row>27</xdr:row>
      <xdr:rowOff>29577</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stretch>
          <a:fillRect/>
        </a:stretch>
      </xdr:blipFill>
      <xdr:spPr>
        <a:xfrm>
          <a:off x="133351" y="3619500"/>
          <a:ext cx="5829300" cy="1696452"/>
        </a:xfrm>
        <a:prstGeom prst="rect">
          <a:avLst/>
        </a:prstGeom>
        <a:solidFill>
          <a:schemeClr val="bg2"/>
        </a:solidFill>
      </xdr:spPr>
    </xdr:pic>
    <xdr:clientData/>
  </xdr:twoCellAnchor>
  <xdr:twoCellAnchor editAs="oneCell">
    <xdr:from>
      <xdr:col>8</xdr:col>
      <xdr:colOff>457200</xdr:colOff>
      <xdr:row>0</xdr:row>
      <xdr:rowOff>28575</xdr:rowOff>
    </xdr:from>
    <xdr:to>
      <xdr:col>9</xdr:col>
      <xdr:colOff>514350</xdr:colOff>
      <xdr:row>1</xdr:row>
      <xdr:rowOff>10795</xdr:rowOff>
    </xdr:to>
    <xdr:pic>
      <xdr:nvPicPr>
        <xdr:cNvPr id="5" name="Picture 4">
          <a:extLst>
            <a:ext uri="{FF2B5EF4-FFF2-40B4-BE49-F238E27FC236}">
              <a16:creationId xmlns:a16="http://schemas.microsoft.com/office/drawing/2014/main" id="{00000000-0008-0000-0000-000005000000}"/>
            </a:ext>
          </a:extLst>
        </xdr:cNvPr>
        <xdr:cNvPicPr/>
      </xdr:nvPicPr>
      <xdr:blipFill>
        <a:blip xmlns:r="http://schemas.openxmlformats.org/officeDocument/2006/relationships" r:embed="rId2"/>
        <a:stretch>
          <a:fillRect/>
        </a:stretch>
      </xdr:blipFill>
      <xdr:spPr>
        <a:xfrm>
          <a:off x="5334000" y="28575"/>
          <a:ext cx="666750" cy="31559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85725</xdr:colOff>
      <xdr:row>2</xdr:row>
      <xdr:rowOff>38100</xdr:rowOff>
    </xdr:from>
    <xdr:to>
      <xdr:col>8</xdr:col>
      <xdr:colOff>723900</xdr:colOff>
      <xdr:row>9</xdr:row>
      <xdr:rowOff>76200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85725" y="561975"/>
          <a:ext cx="7658100" cy="137160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ysClr val="windowText" lastClr="000000"/>
              </a:solidFill>
            </a:rPr>
            <a:t>A</a:t>
          </a:r>
          <a:r>
            <a:rPr lang="en-US" sz="1100" baseline="0">
              <a:solidFill>
                <a:sysClr val="windowText" lastClr="000000"/>
              </a:solidFill>
            </a:rPr>
            <a:t> manufacturer of men's clothes has identified four major inputs that affect objectives. They include the quality of the material, cost of the material, design of the garment and  skills of Contractors .</a:t>
          </a:r>
        </a:p>
        <a:p>
          <a:endParaRPr lang="en-US" sz="1100" baseline="0">
            <a:solidFill>
              <a:sysClr val="windowText" lastClr="000000"/>
            </a:solidFill>
          </a:endParaRPr>
        </a:p>
        <a:p>
          <a:r>
            <a:rPr lang="en-US" sz="1100" baseline="0">
              <a:solidFill>
                <a:sysClr val="windowText" lastClr="000000"/>
              </a:solidFill>
            </a:rPr>
            <a:t>The outputs include sales Volume, Repeat Business, Social Media comments, and product Returns.</a:t>
          </a:r>
        </a:p>
        <a:p>
          <a:endParaRPr lang="en-US" sz="1100" baseline="0">
            <a:solidFill>
              <a:sysClr val="windowText" lastClr="000000"/>
            </a:solidFill>
          </a:endParaRPr>
        </a:p>
        <a:p>
          <a:r>
            <a:rPr lang="en-US" sz="1100" baseline="0">
              <a:solidFill>
                <a:sysClr val="windowText" lastClr="000000"/>
              </a:solidFill>
            </a:rPr>
            <a:t>Using the template shown below, estimate what you think would be the impact of inputs on outputs.  Based on your analysis which is the most important input variable? </a:t>
          </a:r>
          <a:endParaRPr lang="en-US" sz="1100">
            <a:solidFill>
              <a:sysClr val="windowText" lastClr="000000"/>
            </a:solidFill>
          </a:endParaRPr>
        </a:p>
      </xdr:txBody>
    </xdr:sp>
    <xdr:clientData/>
  </xdr:twoCellAnchor>
  <xdr:twoCellAnchor>
    <xdr:from>
      <xdr:col>0</xdr:col>
      <xdr:colOff>600075</xdr:colOff>
      <xdr:row>18</xdr:row>
      <xdr:rowOff>9525</xdr:rowOff>
    </xdr:from>
    <xdr:to>
      <xdr:col>8</xdr:col>
      <xdr:colOff>9525</xdr:colOff>
      <xdr:row>21</xdr:row>
      <xdr:rowOff>95250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600075" y="3581400"/>
          <a:ext cx="6429375" cy="657225"/>
        </a:xfrm>
        <a:prstGeom prst="rect">
          <a:avLst/>
        </a:prstGeom>
        <a:solidFill>
          <a:srgbClr val="CCEC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How much impact does the following variable have on the output?  Using a scale of 1 to 10, where the number 1 represents little impact and the number 10 represents considerable impact, the following estimates are made.. </a:t>
          </a:r>
        </a:p>
      </xdr:txBody>
    </xdr:sp>
    <xdr:clientData/>
  </xdr:twoCellAnchor>
  <xdr:twoCellAnchor>
    <xdr:from>
      <xdr:col>1</xdr:col>
      <xdr:colOff>114300</xdr:colOff>
      <xdr:row>36</xdr:row>
      <xdr:rowOff>85725</xdr:rowOff>
    </xdr:from>
    <xdr:to>
      <xdr:col>8</xdr:col>
      <xdr:colOff>133350</xdr:colOff>
      <xdr:row>39</xdr:row>
      <xdr:rowOff>9525</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723900" y="7086600"/>
          <a:ext cx="6429375" cy="495300"/>
        </a:xfrm>
        <a:prstGeom prst="rect">
          <a:avLst/>
        </a:prstGeom>
        <a:solidFill>
          <a:srgbClr val="CCEC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On a scale of 1 to 10,</a:t>
          </a:r>
          <a:r>
            <a:rPr lang="en-US" sz="1100" baseline="0"/>
            <a:t> how important is the output variable in achieving process objectives? THe number 1 sugests the output variable is not very impoertant, while the number 10 suggests it is very important.</a:t>
          </a:r>
          <a:endParaRPr lang="en-US" sz="1100"/>
        </a:p>
      </xdr:txBody>
    </xdr:sp>
    <xdr:clientData/>
  </xdr:twoCellAnchor>
  <xdr:twoCellAnchor>
    <xdr:from>
      <xdr:col>0</xdr:col>
      <xdr:colOff>200025</xdr:colOff>
      <xdr:row>59</xdr:row>
      <xdr:rowOff>104775</xdr:rowOff>
    </xdr:from>
    <xdr:to>
      <xdr:col>8</xdr:col>
      <xdr:colOff>790576</xdr:colOff>
      <xdr:row>64</xdr:row>
      <xdr:rowOff>114300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200025" y="11487150"/>
          <a:ext cx="7610476" cy="962025"/>
        </a:xfrm>
        <a:prstGeom prst="rect">
          <a:avLst/>
        </a:prstGeom>
        <a:solidFill>
          <a:srgbClr val="CCEC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To explore the sensitivity of the outcome to the estimates that have been made, try changing some of these estimates. For example, try changing the level of importance or try changing some of the impact numbers. This will help you understand how sensitive the results are to the estimates that have been made. In the Decision Sciences this is called Sensitivity Analysis.</a:t>
          </a:r>
        </a:p>
        <a:p>
          <a:endParaRPr lang="en-US" sz="1100"/>
        </a:p>
      </xdr:txBody>
    </xdr:sp>
    <xdr:clientData/>
  </xdr:twoCellAnchor>
  <xdr:twoCellAnchor editAs="oneCell">
    <xdr:from>
      <xdr:col>6</xdr:col>
      <xdr:colOff>9525</xdr:colOff>
      <xdr:row>0</xdr:row>
      <xdr:rowOff>28575</xdr:rowOff>
    </xdr:from>
    <xdr:to>
      <xdr:col>6</xdr:col>
      <xdr:colOff>676275</xdr:colOff>
      <xdr:row>1</xdr:row>
      <xdr:rowOff>10795</xdr:rowOff>
    </xdr:to>
    <xdr:pic>
      <xdr:nvPicPr>
        <xdr:cNvPr id="7" name="Picture 6">
          <a:extLst>
            <a:ext uri="{FF2B5EF4-FFF2-40B4-BE49-F238E27FC236}">
              <a16:creationId xmlns:a16="http://schemas.microsoft.com/office/drawing/2014/main" id="{00000000-0008-0000-0100-000007000000}"/>
            </a:ext>
          </a:extLst>
        </xdr:cNvPr>
        <xdr:cNvPicPr/>
      </xdr:nvPicPr>
      <xdr:blipFill>
        <a:blip xmlns:r="http://schemas.openxmlformats.org/officeDocument/2006/relationships" r:embed="rId1"/>
        <a:stretch>
          <a:fillRect/>
        </a:stretch>
      </xdr:blipFill>
      <xdr:spPr>
        <a:xfrm>
          <a:off x="5248275" y="28575"/>
          <a:ext cx="666750" cy="31559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4</xdr:col>
      <xdr:colOff>371475</xdr:colOff>
      <xdr:row>47</xdr:row>
      <xdr:rowOff>28574</xdr:rowOff>
    </xdr:from>
    <xdr:to>
      <xdr:col>6</xdr:col>
      <xdr:colOff>38100</xdr:colOff>
      <xdr:row>51</xdr:row>
      <xdr:rowOff>95249</xdr:rowOff>
    </xdr:to>
    <xdr:sp macro="[0]!ResetData" textlink="">
      <xdr:nvSpPr>
        <xdr:cNvPr id="2" name="Rectangle: Rounded Corners 1">
          <a:extLst>
            <a:ext uri="{FF2B5EF4-FFF2-40B4-BE49-F238E27FC236}">
              <a16:creationId xmlns:a16="http://schemas.microsoft.com/office/drawing/2014/main" id="{00000000-0008-0000-0200-000002000000}"/>
            </a:ext>
          </a:extLst>
        </xdr:cNvPr>
        <xdr:cNvSpPr/>
      </xdr:nvSpPr>
      <xdr:spPr>
        <a:xfrm>
          <a:off x="3838575" y="11601449"/>
          <a:ext cx="1438275" cy="8286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t>Reset</a:t>
          </a:r>
        </a:p>
        <a:p>
          <a:pPr algn="ctr"/>
          <a:r>
            <a:rPr lang="en-US" sz="1400"/>
            <a:t>All</a:t>
          </a:r>
        </a:p>
        <a:p>
          <a:pPr algn="ctr"/>
          <a:r>
            <a:rPr lang="en-US" sz="1400"/>
            <a:t>Data</a:t>
          </a:r>
        </a:p>
      </xdr:txBody>
    </xdr:sp>
    <xdr:clientData/>
  </xdr:twoCellAnchor>
  <xdr:twoCellAnchor>
    <xdr:from>
      <xdr:col>0</xdr:col>
      <xdr:colOff>600075</xdr:colOff>
      <xdr:row>10</xdr:row>
      <xdr:rowOff>171450</xdr:rowOff>
    </xdr:from>
    <xdr:to>
      <xdr:col>8</xdr:col>
      <xdr:colOff>9525</xdr:colOff>
      <xdr:row>13</xdr:row>
      <xdr:rowOff>95250</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600075" y="3743325"/>
          <a:ext cx="6429375" cy="495300"/>
        </a:xfrm>
        <a:prstGeom prst="rect">
          <a:avLst/>
        </a:prstGeom>
        <a:solidFill>
          <a:srgbClr val="CCEC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How much impact does the following variable have on the output?  Usie a scale of 1 to 10, where the number 1 represents little impact and the number 10 represents considerable impact. </a:t>
          </a:r>
        </a:p>
      </xdr:txBody>
    </xdr:sp>
    <xdr:clientData/>
  </xdr:twoCellAnchor>
  <xdr:twoCellAnchor>
    <xdr:from>
      <xdr:col>1</xdr:col>
      <xdr:colOff>152400</xdr:colOff>
      <xdr:row>24</xdr:row>
      <xdr:rowOff>180975</xdr:rowOff>
    </xdr:from>
    <xdr:to>
      <xdr:col>8</xdr:col>
      <xdr:colOff>171450</xdr:colOff>
      <xdr:row>27</xdr:row>
      <xdr:rowOff>104775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762000" y="4895850"/>
          <a:ext cx="6429375" cy="495300"/>
        </a:xfrm>
        <a:prstGeom prst="rect">
          <a:avLst/>
        </a:prstGeom>
        <a:solidFill>
          <a:srgbClr val="CCEC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On a scale of 1 to 10,</a:t>
          </a:r>
          <a:r>
            <a:rPr lang="en-US" sz="1100" baseline="0"/>
            <a:t> how important is the output variable in achieving process objectives? THe number 1 sugests the output variable is not very impoertant, while the number 10 suggests it is very important.</a:t>
          </a:r>
          <a:endParaRPr lang="en-US" sz="1100"/>
        </a:p>
      </xdr:txBody>
    </xdr:sp>
    <xdr:clientData/>
  </xdr:twoCellAnchor>
  <xdr:twoCellAnchor editAs="oneCell">
    <xdr:from>
      <xdr:col>6</xdr:col>
      <xdr:colOff>895350</xdr:colOff>
      <xdr:row>0</xdr:row>
      <xdr:rowOff>28575</xdr:rowOff>
    </xdr:from>
    <xdr:to>
      <xdr:col>7</xdr:col>
      <xdr:colOff>657225</xdr:colOff>
      <xdr:row>1</xdr:row>
      <xdr:rowOff>10795</xdr:rowOff>
    </xdr:to>
    <xdr:pic>
      <xdr:nvPicPr>
        <xdr:cNvPr id="7" name="Picture 6">
          <a:extLst>
            <a:ext uri="{FF2B5EF4-FFF2-40B4-BE49-F238E27FC236}">
              <a16:creationId xmlns:a16="http://schemas.microsoft.com/office/drawing/2014/main" id="{00000000-0008-0000-0200-000007000000}"/>
            </a:ext>
          </a:extLst>
        </xdr:cNvPr>
        <xdr:cNvPicPr/>
      </xdr:nvPicPr>
      <xdr:blipFill>
        <a:blip xmlns:r="http://schemas.openxmlformats.org/officeDocument/2006/relationships" r:embed="rId1"/>
        <a:stretch>
          <a:fillRect/>
        </a:stretch>
      </xdr:blipFill>
      <xdr:spPr>
        <a:xfrm>
          <a:off x="6134100" y="28575"/>
          <a:ext cx="666750" cy="31559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2A987-9EB7-4B60-99F0-B5CB99934A3C}">
  <sheetPr codeName="Sheet1"/>
  <dimension ref="A1:L29"/>
  <sheetViews>
    <sheetView showGridLines="0" showRowColHeaders="0" workbookViewId="0">
      <selection activeCell="D30" sqref="D30"/>
    </sheetView>
  </sheetViews>
  <sheetFormatPr defaultRowHeight="15" x14ac:dyDescent="0.25"/>
  <sheetData>
    <row r="1" spans="2:12" ht="26.25" x14ac:dyDescent="0.4">
      <c r="B1" s="3"/>
      <c r="E1" s="1" t="s">
        <v>0</v>
      </c>
      <c r="F1" s="2"/>
    </row>
    <row r="15" spans="2:12" x14ac:dyDescent="0.25">
      <c r="L15" s="14"/>
    </row>
    <row r="29" spans="1:1" x14ac:dyDescent="0.25">
      <c r="A29" s="38" t="s">
        <v>28</v>
      </c>
    </row>
  </sheetData>
  <sheetProtection sheet="1" objects="1" scenarios="1" selectLockedCells="1" selectUnlockedCells="1"/>
  <pageMargins left="0.7" right="0.7" top="0.75" bottom="0.75" header="0.3" footer="0.3"/>
  <pageSetup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6F1BE-3529-4347-A6E2-A106EA585559}">
  <sheetPr codeName="Sheet3"/>
  <dimension ref="A1:K67"/>
  <sheetViews>
    <sheetView showGridLines="0" showRowColHeaders="0" workbookViewId="0">
      <selection activeCell="G68" sqref="G68"/>
    </sheetView>
  </sheetViews>
  <sheetFormatPr defaultRowHeight="15" x14ac:dyDescent="0.25"/>
  <cols>
    <col min="3" max="3" width="19.140625" customWidth="1"/>
    <col min="4" max="4" width="14.5703125" customWidth="1"/>
    <col min="5" max="5" width="13.7109375" customWidth="1"/>
    <col min="6" max="6" width="12.85546875" customWidth="1"/>
    <col min="7" max="7" width="13.5703125" customWidth="1"/>
    <col min="8" max="8" width="13.140625" customWidth="1"/>
    <col min="9" max="9" width="13.28515625" customWidth="1"/>
    <col min="10" max="10" width="13.5703125" customWidth="1"/>
  </cols>
  <sheetData>
    <row r="1" spans="1:9" ht="26.25" x14ac:dyDescent="0.4">
      <c r="B1" s="3"/>
      <c r="D1" s="17" t="s">
        <v>26</v>
      </c>
      <c r="E1" s="4"/>
    </row>
    <row r="2" spans="1:9" ht="15" customHeight="1" x14ac:dyDescent="0.4">
      <c r="A2" s="15"/>
      <c r="B2" s="3"/>
    </row>
    <row r="3" spans="1:9" ht="15" customHeight="1" x14ac:dyDescent="0.4">
      <c r="A3" s="15"/>
      <c r="B3" s="3"/>
    </row>
    <row r="4" spans="1:9" ht="15" customHeight="1" x14ac:dyDescent="0.4">
      <c r="A4" s="15"/>
      <c r="B4" s="3"/>
    </row>
    <row r="5" spans="1:9" ht="15" customHeight="1" x14ac:dyDescent="0.4">
      <c r="A5" s="15"/>
      <c r="B5" s="3"/>
    </row>
    <row r="6" spans="1:9" ht="15" customHeight="1" x14ac:dyDescent="0.4">
      <c r="A6" s="15"/>
      <c r="B6" s="3"/>
    </row>
    <row r="7" spans="1:9" ht="15" customHeight="1" x14ac:dyDescent="0.4">
      <c r="A7" s="15"/>
      <c r="B7" s="3"/>
    </row>
    <row r="8" spans="1:9" ht="15" customHeight="1" x14ac:dyDescent="0.4">
      <c r="A8" s="15"/>
      <c r="B8" s="3"/>
    </row>
    <row r="9" spans="1:9" ht="15" customHeight="1" x14ac:dyDescent="0.4">
      <c r="A9" s="15"/>
      <c r="B9" s="3"/>
    </row>
    <row r="10" spans="1:9" ht="15" customHeight="1" x14ac:dyDescent="0.4">
      <c r="A10" s="15"/>
      <c r="B10" s="3"/>
    </row>
    <row r="11" spans="1:9" ht="15" customHeight="1" x14ac:dyDescent="0.4">
      <c r="A11" s="15"/>
      <c r="B11" s="3"/>
    </row>
    <row r="12" spans="1:9" x14ac:dyDescent="0.25">
      <c r="C12" s="4" t="s">
        <v>24</v>
      </c>
      <c r="D12" s="3"/>
      <c r="F12" s="4" t="s">
        <v>25</v>
      </c>
      <c r="G12" s="3"/>
      <c r="I12" s="3"/>
    </row>
    <row r="13" spans="1:9" x14ac:dyDescent="0.25">
      <c r="C13" t="s">
        <v>3</v>
      </c>
      <c r="D13" s="10" t="s">
        <v>17</v>
      </c>
      <c r="F13" t="s">
        <v>7</v>
      </c>
      <c r="G13" s="10" t="s">
        <v>20</v>
      </c>
      <c r="I13" s="3"/>
    </row>
    <row r="14" spans="1:9" x14ac:dyDescent="0.25">
      <c r="C14" t="s">
        <v>4</v>
      </c>
      <c r="D14" s="10" t="s">
        <v>18</v>
      </c>
      <c r="F14" t="s">
        <v>8</v>
      </c>
      <c r="G14" s="10" t="s">
        <v>21</v>
      </c>
    </row>
    <row r="15" spans="1:9" x14ac:dyDescent="0.25">
      <c r="C15" t="s">
        <v>6</v>
      </c>
      <c r="D15" s="10" t="s">
        <v>16</v>
      </c>
      <c r="F15" t="s">
        <v>9</v>
      </c>
      <c r="G15" s="10" t="s">
        <v>22</v>
      </c>
    </row>
    <row r="16" spans="1:9" x14ac:dyDescent="0.25">
      <c r="C16" t="s">
        <v>5</v>
      </c>
      <c r="D16" s="10" t="s">
        <v>19</v>
      </c>
      <c r="F16" t="s">
        <v>10</v>
      </c>
      <c r="G16" s="10" t="s">
        <v>23</v>
      </c>
    </row>
    <row r="23" spans="2:8" x14ac:dyDescent="0.25">
      <c r="B23" s="4" t="s">
        <v>11</v>
      </c>
      <c r="C23" s="5" t="s">
        <v>12</v>
      </c>
      <c r="D23" s="13" t="s">
        <v>13</v>
      </c>
      <c r="F23" s="5" t="s">
        <v>11</v>
      </c>
      <c r="G23" s="4" t="s">
        <v>12</v>
      </c>
      <c r="H23" s="13" t="s">
        <v>13</v>
      </c>
    </row>
    <row r="24" spans="2:8" x14ac:dyDescent="0.25">
      <c r="B24" t="str">
        <f>IF(D13="","",D13)</f>
        <v>Quality</v>
      </c>
      <c r="C24" t="str">
        <f>IF($G$13="","",$G$13)</f>
        <v>Sales</v>
      </c>
      <c r="D24" s="16">
        <v>5</v>
      </c>
      <c r="F24" t="str">
        <f>IF($D$15="","",$D$15)</f>
        <v>Design</v>
      </c>
      <c r="G24" t="str">
        <f>IF($G$13="","",$G$13)</f>
        <v>Sales</v>
      </c>
      <c r="H24" s="16">
        <v>9</v>
      </c>
    </row>
    <row r="25" spans="2:8" x14ac:dyDescent="0.25">
      <c r="B25" t="str">
        <f>IF(D13="","",D13)</f>
        <v>Quality</v>
      </c>
      <c r="C25" t="str">
        <f>IF($G$14="","",$G$14)</f>
        <v>Repeat</v>
      </c>
      <c r="D25" s="16">
        <v>4</v>
      </c>
      <c r="F25" t="str">
        <f t="shared" ref="F25:F27" si="0">IF($D$15="","",$D$15)</f>
        <v>Design</v>
      </c>
      <c r="G25" t="str">
        <f>IF($G$14="","",$G$14)</f>
        <v>Repeat</v>
      </c>
      <c r="H25" s="16">
        <v>6</v>
      </c>
    </row>
    <row r="26" spans="2:8" x14ac:dyDescent="0.25">
      <c r="B26" t="str">
        <f>IF(D13="","",D13)</f>
        <v>Quality</v>
      </c>
      <c r="C26" t="str">
        <f>IF($G$15="","",$G$15)</f>
        <v>Social</v>
      </c>
      <c r="D26" s="16">
        <v>2</v>
      </c>
      <c r="F26" t="str">
        <f t="shared" si="0"/>
        <v>Design</v>
      </c>
      <c r="G26" t="str">
        <f>IF($G$15="","",$G$15)</f>
        <v>Social</v>
      </c>
      <c r="H26" s="16">
        <v>7</v>
      </c>
    </row>
    <row r="27" spans="2:8" x14ac:dyDescent="0.25">
      <c r="B27" t="str">
        <f>IF(D13="","",D13)</f>
        <v>Quality</v>
      </c>
      <c r="C27" t="str">
        <f>IF($G$16="","",$G$16)</f>
        <v>Returns</v>
      </c>
      <c r="D27" s="16">
        <v>8</v>
      </c>
      <c r="F27" t="str">
        <f t="shared" si="0"/>
        <v>Design</v>
      </c>
      <c r="G27" t="str">
        <f>IF($G$16="","",$G$16)</f>
        <v>Returns</v>
      </c>
      <c r="H27" s="16">
        <v>5</v>
      </c>
    </row>
    <row r="28" spans="2:8" x14ac:dyDescent="0.25">
      <c r="B28" t="str">
        <f>IF(D14="","",D14)</f>
        <v>Cost</v>
      </c>
      <c r="C28" t="str">
        <f>IF($G$13="","",$G$13)</f>
        <v>Sales</v>
      </c>
      <c r="D28" s="16">
        <v>6</v>
      </c>
      <c r="F28" t="str">
        <f>IF(D16="","",D16)</f>
        <v>Skills</v>
      </c>
      <c r="G28" t="str">
        <f>IF($G$13="","",$G$13)</f>
        <v>Sales</v>
      </c>
      <c r="H28" s="16">
        <v>4</v>
      </c>
    </row>
    <row r="29" spans="2:8" x14ac:dyDescent="0.25">
      <c r="B29" t="str">
        <f>IF(D14="","",D14)</f>
        <v>Cost</v>
      </c>
      <c r="C29" t="str">
        <f>IF($G$14="","",$G$14)</f>
        <v>Repeat</v>
      </c>
      <c r="D29" s="16">
        <v>3</v>
      </c>
      <c r="F29" t="str">
        <f>IF(D16="","",D16)</f>
        <v>Skills</v>
      </c>
      <c r="G29" t="str">
        <f>IF($G$14="","",$G$14)</f>
        <v>Repeat</v>
      </c>
      <c r="H29" s="16">
        <v>7</v>
      </c>
    </row>
    <row r="30" spans="2:8" x14ac:dyDescent="0.25">
      <c r="B30" t="str">
        <f>IF(D14="","",D14)</f>
        <v>Cost</v>
      </c>
      <c r="C30" t="str">
        <f>IF($G$15="","",$G$15)</f>
        <v>Social</v>
      </c>
      <c r="D30" s="16">
        <v>4</v>
      </c>
      <c r="F30" t="str">
        <f>IF(D16="","",D16)</f>
        <v>Skills</v>
      </c>
      <c r="G30" t="str">
        <f>IF($G$15="","",$G$15)</f>
        <v>Social</v>
      </c>
      <c r="H30" s="16">
        <v>5</v>
      </c>
    </row>
    <row r="31" spans="2:8" x14ac:dyDescent="0.25">
      <c r="B31" t="str">
        <f>IF(D14="","",D14)</f>
        <v>Cost</v>
      </c>
      <c r="C31" t="str">
        <f>IF($G$16="","",$G$16)</f>
        <v>Returns</v>
      </c>
      <c r="D31" s="16">
        <v>2</v>
      </c>
      <c r="F31" t="str">
        <f>IF(D16="","",D16)</f>
        <v>Skills</v>
      </c>
      <c r="G31" t="str">
        <f>IF($G$16="","",$G$16)</f>
        <v>Returns</v>
      </c>
      <c r="H31" s="16">
        <v>4</v>
      </c>
    </row>
    <row r="41" spans="4:11" x14ac:dyDescent="0.25">
      <c r="E41" s="13" t="s">
        <v>12</v>
      </c>
      <c r="F41" s="13" t="s">
        <v>15</v>
      </c>
    </row>
    <row r="42" spans="4:11" x14ac:dyDescent="0.25">
      <c r="E42" s="8" t="str">
        <f>IF(G13="","",G13)</f>
        <v>Sales</v>
      </c>
      <c r="F42" s="10">
        <v>8</v>
      </c>
    </row>
    <row r="43" spans="4:11" x14ac:dyDescent="0.25">
      <c r="E43" s="8" t="str">
        <f>IF(G14="","",G14)</f>
        <v>Repeat</v>
      </c>
      <c r="F43" s="10">
        <v>6</v>
      </c>
      <c r="H43" s="3"/>
      <c r="I43" s="3"/>
      <c r="J43" s="3"/>
      <c r="K43" s="3"/>
    </row>
    <row r="44" spans="4:11" x14ac:dyDescent="0.25">
      <c r="E44" s="8" t="str">
        <f>IF(G15="","",G15)</f>
        <v>Social</v>
      </c>
      <c r="F44" s="10">
        <v>4</v>
      </c>
      <c r="H44" s="11"/>
      <c r="I44" s="11"/>
      <c r="J44" s="12"/>
      <c r="K44" s="3"/>
    </row>
    <row r="45" spans="4:11" x14ac:dyDescent="0.25">
      <c r="D45" s="11"/>
      <c r="E45" s="8" t="str">
        <f>IF(G16="","",G16)</f>
        <v>Returns</v>
      </c>
      <c r="F45" s="10">
        <v>5</v>
      </c>
      <c r="G45" s="11"/>
      <c r="H45" s="11"/>
      <c r="I45" s="11"/>
      <c r="J45" s="12"/>
      <c r="K45" s="3"/>
    </row>
    <row r="46" spans="4:11" x14ac:dyDescent="0.25">
      <c r="D46" s="11"/>
      <c r="E46" s="11"/>
      <c r="F46" s="11"/>
      <c r="G46" s="11"/>
      <c r="H46" s="11"/>
      <c r="I46" s="11"/>
      <c r="J46" s="12"/>
      <c r="K46" s="3"/>
    </row>
    <row r="47" spans="4:11" x14ac:dyDescent="0.25">
      <c r="D47" s="11"/>
      <c r="E47" s="11"/>
      <c r="F47" s="11"/>
      <c r="G47" s="11"/>
      <c r="H47" s="11"/>
      <c r="I47" s="11"/>
      <c r="J47" s="12"/>
      <c r="K47" s="3"/>
    </row>
    <row r="48" spans="4:11" x14ac:dyDescent="0.25">
      <c r="D48" s="11"/>
      <c r="E48" s="11"/>
      <c r="F48" s="11"/>
      <c r="G48" s="11"/>
      <c r="H48" s="11"/>
      <c r="I48" s="11"/>
      <c r="J48" s="12"/>
      <c r="K48" s="3"/>
    </row>
    <row r="49" spans="3:11" x14ac:dyDescent="0.25">
      <c r="D49" s="11"/>
      <c r="E49" s="11"/>
      <c r="F49" s="11"/>
      <c r="G49" s="11"/>
      <c r="H49" s="11"/>
      <c r="I49" s="11"/>
      <c r="J49" s="12"/>
      <c r="K49" s="3"/>
    </row>
    <row r="50" spans="3:11" x14ac:dyDescent="0.25">
      <c r="E50" s="2" t="s">
        <v>27</v>
      </c>
      <c r="F50" s="2"/>
      <c r="H50" s="11"/>
      <c r="I50" s="11"/>
      <c r="J50" s="12"/>
      <c r="K50" s="3"/>
    </row>
    <row r="51" spans="3:11" x14ac:dyDescent="0.25">
      <c r="D51" s="7">
        <f>F42</f>
        <v>8</v>
      </c>
      <c r="E51" s="7">
        <f>F43</f>
        <v>6</v>
      </c>
      <c r="F51" s="7">
        <f>F44</f>
        <v>4</v>
      </c>
      <c r="G51" s="7">
        <f>F45</f>
        <v>5</v>
      </c>
      <c r="H51" s="11"/>
      <c r="I51" s="11"/>
      <c r="J51" s="12"/>
      <c r="K51" s="3"/>
    </row>
    <row r="52" spans="3:11" x14ac:dyDescent="0.25">
      <c r="D52" s="11"/>
      <c r="E52" s="11"/>
      <c r="F52" s="11"/>
      <c r="G52" s="11"/>
      <c r="H52" s="11"/>
      <c r="I52" s="11"/>
      <c r="J52" s="12"/>
      <c r="K52" s="3"/>
    </row>
    <row r="53" spans="3:11" x14ac:dyDescent="0.25">
      <c r="F53" s="2" t="s">
        <v>2</v>
      </c>
      <c r="H53" s="12"/>
      <c r="I53" s="12"/>
      <c r="J53" s="12"/>
      <c r="K53" s="3"/>
    </row>
    <row r="54" spans="3:11" x14ac:dyDescent="0.25">
      <c r="C54" s="2" t="s">
        <v>1</v>
      </c>
      <c r="D54" s="13" t="str">
        <f>IF(G13="","",G13)</f>
        <v>Sales</v>
      </c>
      <c r="E54" s="13" t="str">
        <f>IF(G14="","",G14)</f>
        <v>Repeat</v>
      </c>
      <c r="F54" s="13" t="str">
        <f>IF(G15="","",G15)</f>
        <v>Social</v>
      </c>
      <c r="G54" s="13" t="str">
        <f>IF(G16="","",G16)</f>
        <v>Returns</v>
      </c>
      <c r="H54" s="11" t="s">
        <v>14</v>
      </c>
      <c r="I54" s="12"/>
      <c r="J54" s="12"/>
      <c r="K54" s="3"/>
    </row>
    <row r="55" spans="3:11" x14ac:dyDescent="0.25">
      <c r="C55" s="9" t="str">
        <f>IF(D13="","",D13)</f>
        <v>Quality</v>
      </c>
      <c r="D55" s="6">
        <f>D24</f>
        <v>5</v>
      </c>
      <c r="E55" s="6">
        <f>D25</f>
        <v>4</v>
      </c>
      <c r="F55" s="6">
        <f>D26</f>
        <v>2</v>
      </c>
      <c r="G55" s="6">
        <f>D27</f>
        <v>8</v>
      </c>
      <c r="H55" s="11">
        <f>$D$51*D55+$E$51*E55+$F$51*F55+$G$51*G55</f>
        <v>112</v>
      </c>
      <c r="I55" s="11"/>
      <c r="J55" s="12"/>
      <c r="K55" s="3"/>
    </row>
    <row r="56" spans="3:11" x14ac:dyDescent="0.25">
      <c r="C56" s="9" t="str">
        <f>IF(D14="","",D14)</f>
        <v>Cost</v>
      </c>
      <c r="D56" s="6">
        <f>D28</f>
        <v>6</v>
      </c>
      <c r="E56" s="6">
        <f>D29</f>
        <v>3</v>
      </c>
      <c r="F56" s="6">
        <f>D30</f>
        <v>4</v>
      </c>
      <c r="G56" s="6">
        <f>D31</f>
        <v>2</v>
      </c>
      <c r="H56" s="11">
        <f>$D$51*D56+$E$51*E56+$F$51*F56+$G$51*G56</f>
        <v>92</v>
      </c>
      <c r="I56" s="11"/>
      <c r="J56" s="12"/>
      <c r="K56" s="3"/>
    </row>
    <row r="57" spans="3:11" x14ac:dyDescent="0.25">
      <c r="C57" t="str">
        <f>IF(D15="","",D15)</f>
        <v>Design</v>
      </c>
      <c r="D57" s="6">
        <f>H24</f>
        <v>9</v>
      </c>
      <c r="E57" s="6">
        <f>H25</f>
        <v>6</v>
      </c>
      <c r="F57" s="6">
        <f>H26</f>
        <v>7</v>
      </c>
      <c r="G57" s="6">
        <f>H27</f>
        <v>5</v>
      </c>
      <c r="H57" s="11">
        <f>$D$51*D57+$E$51*E57+$F$51*F57+$G$51*G57</f>
        <v>161</v>
      </c>
      <c r="I57" s="11"/>
      <c r="J57" s="12"/>
      <c r="K57" s="3"/>
    </row>
    <row r="58" spans="3:11" x14ac:dyDescent="0.25">
      <c r="C58" t="str">
        <f>IF(D16="","",D16)</f>
        <v>Skills</v>
      </c>
      <c r="D58" s="6">
        <f>H28</f>
        <v>4</v>
      </c>
      <c r="E58" s="6">
        <f>H29</f>
        <v>7</v>
      </c>
      <c r="F58" s="6">
        <f>H30</f>
        <v>5</v>
      </c>
      <c r="G58" s="6">
        <f>H31</f>
        <v>4</v>
      </c>
      <c r="H58" s="11">
        <f>$D$51*D58+$E$51*E58+$F$51*F58+$G$51*G58</f>
        <v>114</v>
      </c>
      <c r="I58" s="11"/>
      <c r="J58" s="12"/>
      <c r="K58" s="3"/>
    </row>
    <row r="59" spans="3:11" x14ac:dyDescent="0.25">
      <c r="H59" s="3"/>
      <c r="I59" s="3"/>
      <c r="J59" s="3"/>
      <c r="K59" s="3"/>
    </row>
    <row r="67" spans="2:2" x14ac:dyDescent="0.25">
      <c r="B67" s="38" t="s">
        <v>28</v>
      </c>
    </row>
  </sheetData>
  <sheetProtection sheet="1" objects="1" scenarios="1" selectLockedCells="1" selectUnlockedCells="1"/>
  <pageMargins left="0.7" right="0.7" top="0.75" bottom="0.75" header="0.3" footer="0.3"/>
  <pageSetup orientation="landscape" horizontalDpi="300" verticalDpi="3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3C97E-757C-4AF3-AD71-413E61A2AB53}">
  <sheetPr codeName="Sheet4"/>
  <dimension ref="A1:K54"/>
  <sheetViews>
    <sheetView showGridLines="0" showRowColHeaders="0" tabSelected="1" workbookViewId="0">
      <selection activeCell="F33" sqref="F33"/>
    </sheetView>
  </sheetViews>
  <sheetFormatPr defaultRowHeight="15" x14ac:dyDescent="0.25"/>
  <cols>
    <col min="1" max="2" width="9.140625" style="18"/>
    <col min="3" max="3" width="19.140625" style="18" customWidth="1"/>
    <col min="4" max="4" width="14.5703125" style="18" customWidth="1"/>
    <col min="5" max="5" width="13.7109375" style="18" customWidth="1"/>
    <col min="6" max="6" width="12.85546875" style="18" customWidth="1"/>
    <col min="7" max="7" width="13.5703125" style="18" customWidth="1"/>
    <col min="8" max="8" width="13.140625" style="18" customWidth="1"/>
    <col min="9" max="9" width="13.28515625" style="18" customWidth="1"/>
    <col min="10" max="10" width="13.5703125" style="18" customWidth="1"/>
    <col min="11" max="16384" width="9.140625" style="18"/>
  </cols>
  <sheetData>
    <row r="1" spans="1:9" ht="26.25" x14ac:dyDescent="0.4">
      <c r="B1" s="19"/>
      <c r="D1" s="20"/>
      <c r="E1" s="21" t="s">
        <v>0</v>
      </c>
      <c r="F1" s="20"/>
    </row>
    <row r="2" spans="1:9" ht="15" customHeight="1" x14ac:dyDescent="0.4">
      <c r="A2" s="22"/>
      <c r="B2" s="19"/>
    </row>
    <row r="3" spans="1:9" ht="15" customHeight="1" x14ac:dyDescent="0.4">
      <c r="A3" s="22"/>
      <c r="B3" s="19"/>
    </row>
    <row r="4" spans="1:9" x14ac:dyDescent="0.25">
      <c r="C4" s="34" t="s">
        <v>24</v>
      </c>
      <c r="D4" s="19"/>
      <c r="F4" s="34" t="s">
        <v>25</v>
      </c>
      <c r="G4" s="19"/>
      <c r="I4" s="19"/>
    </row>
    <row r="5" spans="1:9" x14ac:dyDescent="0.25">
      <c r="C5" s="18" t="s">
        <v>3</v>
      </c>
      <c r="D5" s="23" t="s">
        <v>30</v>
      </c>
      <c r="F5" s="18" t="s">
        <v>7</v>
      </c>
      <c r="G5" s="23" t="s">
        <v>29</v>
      </c>
      <c r="I5" s="19"/>
    </row>
    <row r="6" spans="1:9" x14ac:dyDescent="0.25">
      <c r="C6" s="18" t="s">
        <v>4</v>
      </c>
      <c r="D6" s="23" t="s">
        <v>31</v>
      </c>
      <c r="F6" s="18" t="s">
        <v>8</v>
      </c>
      <c r="G6" s="23" t="s">
        <v>33</v>
      </c>
    </row>
    <row r="7" spans="1:9" x14ac:dyDescent="0.25">
      <c r="C7" s="18" t="s">
        <v>6</v>
      </c>
      <c r="D7" s="23" t="s">
        <v>32</v>
      </c>
      <c r="F7" s="18" t="s">
        <v>9</v>
      </c>
      <c r="G7" s="23" t="s">
        <v>34</v>
      </c>
    </row>
    <row r="8" spans="1:9" x14ac:dyDescent="0.25">
      <c r="C8" s="18" t="s">
        <v>5</v>
      </c>
      <c r="D8" s="23" t="s">
        <v>16</v>
      </c>
      <c r="F8" s="18" t="s">
        <v>10</v>
      </c>
      <c r="G8" s="23"/>
    </row>
    <row r="15" spans="1:9" x14ac:dyDescent="0.25">
      <c r="B15" s="34" t="s">
        <v>11</v>
      </c>
      <c r="C15" s="35" t="s">
        <v>12</v>
      </c>
      <c r="D15" s="24" t="s">
        <v>13</v>
      </c>
      <c r="F15" s="35" t="s">
        <v>11</v>
      </c>
      <c r="G15" s="34" t="s">
        <v>12</v>
      </c>
      <c r="H15" s="24"/>
    </row>
    <row r="16" spans="1:9" x14ac:dyDescent="0.25">
      <c r="B16" s="18" t="str">
        <f>IF(D5="","",D5)</f>
        <v>Training</v>
      </c>
      <c r="C16" s="18" t="str">
        <f>IF($G$5="","",$G$5)</f>
        <v>Satisfaction</v>
      </c>
      <c r="D16" s="25">
        <v>8</v>
      </c>
      <c r="F16" s="18" t="str">
        <f t="shared" ref="F16:F18" si="0">IF($D$7="","",$D$7)</f>
        <v>Website</v>
      </c>
      <c r="G16" s="18" t="str">
        <f>IF($G$5="","",$G$5)</f>
        <v>Satisfaction</v>
      </c>
      <c r="H16" s="25">
        <v>6</v>
      </c>
    </row>
    <row r="17" spans="2:8" x14ac:dyDescent="0.25">
      <c r="B17" s="18" t="str">
        <f>IF(D5="","",D5)</f>
        <v>Training</v>
      </c>
      <c r="C17" s="18" t="str">
        <f>IF($G$6="","",$G$6)</f>
        <v>Returning</v>
      </c>
      <c r="D17" s="25">
        <v>7</v>
      </c>
      <c r="F17" s="18" t="str">
        <f t="shared" si="0"/>
        <v>Website</v>
      </c>
      <c r="G17" s="18" t="str">
        <f>IF($G$6="","",$G$6)</f>
        <v>Returning</v>
      </c>
      <c r="H17" s="25">
        <v>8</v>
      </c>
    </row>
    <row r="18" spans="2:8" x14ac:dyDescent="0.25">
      <c r="B18" s="18" t="str">
        <f>IF(D5="","",D5)</f>
        <v>Training</v>
      </c>
      <c r="C18" s="18" t="str">
        <f>IF($G$7="","",$G$7)</f>
        <v>Revenue</v>
      </c>
      <c r="D18" s="25">
        <v>7</v>
      </c>
      <c r="F18" s="18" t="str">
        <f t="shared" si="0"/>
        <v>Website</v>
      </c>
      <c r="G18" s="18" t="str">
        <f>IF($G$7="","",$G$7)</f>
        <v>Revenue</v>
      </c>
      <c r="H18" s="25">
        <v>9</v>
      </c>
    </row>
    <row r="19" spans="2:8" x14ac:dyDescent="0.25">
      <c r="B19" s="18" t="str">
        <f>IF(D5="","",D5)</f>
        <v>Training</v>
      </c>
      <c r="C19" s="18" t="str">
        <f>IF($G$8="","",$G$8)</f>
        <v/>
      </c>
      <c r="D19" s="25"/>
      <c r="F19" s="18" t="str">
        <f>IF($D$7="","",$D$7)</f>
        <v>Website</v>
      </c>
      <c r="G19" s="18" t="str">
        <f>IF($G$8="","",$G$8)</f>
        <v/>
      </c>
      <c r="H19" s="25"/>
    </row>
    <row r="20" spans="2:8" x14ac:dyDescent="0.25">
      <c r="B20" s="18" t="str">
        <f>IF(D6="","",D6)</f>
        <v>Salary</v>
      </c>
      <c r="C20" s="18" t="str">
        <f>IF($G$5="","",$G$5)</f>
        <v>Satisfaction</v>
      </c>
      <c r="D20" s="25">
        <v>7</v>
      </c>
      <c r="F20" s="18" t="str">
        <f>IF($D$8="","",$D$8)</f>
        <v>Design</v>
      </c>
      <c r="G20" s="18" t="str">
        <f>IF($G$5="","",$G$5)</f>
        <v>Satisfaction</v>
      </c>
      <c r="H20" s="25">
        <v>8</v>
      </c>
    </row>
    <row r="21" spans="2:8" x14ac:dyDescent="0.25">
      <c r="B21" s="18" t="str">
        <f>IF(D6="","",D6)</f>
        <v>Salary</v>
      </c>
      <c r="C21" s="18" t="str">
        <f>IF($G$6="","",$G$6)</f>
        <v>Returning</v>
      </c>
      <c r="D21" s="25">
        <v>5</v>
      </c>
      <c r="F21" s="18" t="str">
        <f t="shared" ref="F21:F23" si="1">IF($D$8="","",$D$8)</f>
        <v>Design</v>
      </c>
      <c r="G21" s="18" t="str">
        <f>IF($G$6="","",$G$6)</f>
        <v>Returning</v>
      </c>
      <c r="H21" s="25">
        <v>9</v>
      </c>
    </row>
    <row r="22" spans="2:8" x14ac:dyDescent="0.25">
      <c r="B22" s="18" t="str">
        <f>IF(D6="","",D6)</f>
        <v>Salary</v>
      </c>
      <c r="C22" s="18" t="str">
        <f>IF($G$7="","",$G$7)</f>
        <v>Revenue</v>
      </c>
      <c r="D22" s="25">
        <v>5</v>
      </c>
      <c r="F22" s="18" t="str">
        <f t="shared" si="1"/>
        <v>Design</v>
      </c>
      <c r="G22" s="18" t="str">
        <f>IF($G$7="","",$G$7)</f>
        <v>Revenue</v>
      </c>
      <c r="H22" s="25">
        <v>8</v>
      </c>
    </row>
    <row r="23" spans="2:8" x14ac:dyDescent="0.25">
      <c r="B23" s="18" t="str">
        <f>IF(D6="","",D6)</f>
        <v>Salary</v>
      </c>
      <c r="C23" s="18" t="str">
        <f>IF($G$8="","",$G$8)</f>
        <v/>
      </c>
      <c r="D23" s="25"/>
      <c r="F23" s="18" t="str">
        <f t="shared" si="1"/>
        <v>Design</v>
      </c>
      <c r="G23" s="18" t="str">
        <f>IF($G$8="","",$G$8)</f>
        <v/>
      </c>
      <c r="H23" s="25"/>
    </row>
    <row r="29" spans="2:8" x14ac:dyDescent="0.25">
      <c r="E29" s="36" t="s">
        <v>12</v>
      </c>
      <c r="F29" s="36" t="s">
        <v>15</v>
      </c>
    </row>
    <row r="30" spans="2:8" x14ac:dyDescent="0.25">
      <c r="E30" s="26" t="str">
        <f>IF(G5="","",G5)</f>
        <v>Satisfaction</v>
      </c>
      <c r="F30" s="23">
        <v>9</v>
      </c>
    </row>
    <row r="31" spans="2:8" x14ac:dyDescent="0.25">
      <c r="E31" s="26" t="str">
        <f>IF(G6="","",G6)</f>
        <v>Returning</v>
      </c>
      <c r="F31" s="23">
        <v>7</v>
      </c>
    </row>
    <row r="32" spans="2:8" x14ac:dyDescent="0.25">
      <c r="E32" s="26" t="str">
        <f t="shared" ref="E32:E33" si="2">IF(G7="","",G7)</f>
        <v>Revenue</v>
      </c>
      <c r="F32" s="23">
        <v>8</v>
      </c>
    </row>
    <row r="33" spans="3:11" x14ac:dyDescent="0.25">
      <c r="E33" s="26" t="str">
        <f t="shared" si="2"/>
        <v/>
      </c>
      <c r="F33" s="23"/>
      <c r="H33" s="19"/>
      <c r="I33" s="19"/>
      <c r="J33" s="19"/>
      <c r="K33" s="19"/>
    </row>
    <row r="34" spans="3:11" x14ac:dyDescent="0.25">
      <c r="H34" s="27"/>
      <c r="I34" s="27"/>
      <c r="J34" s="28"/>
      <c r="K34" s="19"/>
    </row>
    <row r="35" spans="3:11" x14ac:dyDescent="0.25">
      <c r="D35" s="27"/>
      <c r="G35" s="27"/>
      <c r="H35" s="27"/>
      <c r="I35" s="27"/>
      <c r="J35" s="28"/>
      <c r="K35" s="19"/>
    </row>
    <row r="36" spans="3:11" x14ac:dyDescent="0.25">
      <c r="D36" s="27"/>
      <c r="E36" s="27"/>
      <c r="F36" s="27"/>
      <c r="G36" s="27"/>
      <c r="H36" s="27"/>
      <c r="I36" s="27"/>
      <c r="J36" s="28"/>
      <c r="K36" s="19"/>
    </row>
    <row r="37" spans="3:11" x14ac:dyDescent="0.25">
      <c r="E37" s="29" t="s">
        <v>27</v>
      </c>
      <c r="F37" s="29"/>
      <c r="H37" s="27"/>
      <c r="I37" s="27"/>
      <c r="J37" s="28"/>
      <c r="K37" s="19"/>
    </row>
    <row r="38" spans="3:11" x14ac:dyDescent="0.25">
      <c r="D38" s="31">
        <f>F30</f>
        <v>9</v>
      </c>
      <c r="E38" s="31">
        <f>F31</f>
        <v>7</v>
      </c>
      <c r="F38" s="31">
        <f>F32</f>
        <v>8</v>
      </c>
      <c r="G38" s="31">
        <f>F33</f>
        <v>0</v>
      </c>
      <c r="H38" s="27"/>
      <c r="I38" s="27"/>
      <c r="J38" s="28"/>
      <c r="K38" s="19"/>
    </row>
    <row r="39" spans="3:11" x14ac:dyDescent="0.25">
      <c r="D39" s="27"/>
      <c r="E39" s="27"/>
      <c r="F39" s="27"/>
      <c r="G39" s="27"/>
      <c r="H39" s="27"/>
      <c r="I39" s="27"/>
      <c r="J39" s="28"/>
      <c r="K39" s="19"/>
    </row>
    <row r="40" spans="3:11" x14ac:dyDescent="0.25">
      <c r="F40" s="37" t="s">
        <v>2</v>
      </c>
      <c r="H40" s="28"/>
      <c r="I40" s="28"/>
      <c r="J40" s="28"/>
      <c r="K40" s="19"/>
    </row>
    <row r="41" spans="3:11" x14ac:dyDescent="0.25">
      <c r="C41" s="37" t="s">
        <v>1</v>
      </c>
      <c r="D41" s="24" t="str">
        <f>IF(G5="","",G5)</f>
        <v>Satisfaction</v>
      </c>
      <c r="E41" s="24" t="str">
        <f>IF(G6="","",G6)</f>
        <v>Returning</v>
      </c>
      <c r="F41" s="24" t="str">
        <f>IF(G7="","",G7)</f>
        <v>Revenue</v>
      </c>
      <c r="G41" s="24" t="str">
        <f>IF(G8="","",G8)</f>
        <v/>
      </c>
      <c r="H41" s="27" t="s">
        <v>14</v>
      </c>
      <c r="I41" s="28"/>
      <c r="J41" s="28"/>
      <c r="K41" s="19"/>
    </row>
    <row r="42" spans="3:11" x14ac:dyDescent="0.25">
      <c r="C42" s="30" t="str">
        <f>IF(D5="","",D5)</f>
        <v>Training</v>
      </c>
      <c r="D42" s="32">
        <f>D16</f>
        <v>8</v>
      </c>
      <c r="E42" s="32">
        <f>D17</f>
        <v>7</v>
      </c>
      <c r="F42" s="32">
        <f>D18</f>
        <v>7</v>
      </c>
      <c r="G42" s="32">
        <f>D19</f>
        <v>0</v>
      </c>
      <c r="H42" s="33">
        <f>$D$38*D42+$E$38*E42+$F$38*F42+$G$38*G42</f>
        <v>177</v>
      </c>
      <c r="I42" s="27"/>
      <c r="J42" s="28"/>
      <c r="K42" s="19"/>
    </row>
    <row r="43" spans="3:11" x14ac:dyDescent="0.25">
      <c r="C43" s="30" t="str">
        <f>IF(D6="","",D6)</f>
        <v>Salary</v>
      </c>
      <c r="D43" s="32">
        <f>D20</f>
        <v>7</v>
      </c>
      <c r="E43" s="32">
        <f>D21</f>
        <v>5</v>
      </c>
      <c r="F43" s="32">
        <f>D22</f>
        <v>5</v>
      </c>
      <c r="G43" s="32">
        <f>D23</f>
        <v>0</v>
      </c>
      <c r="H43" s="33">
        <f>$D$38*D43+$E$38*E43+$F$38*F43+$G$38*G43</f>
        <v>138</v>
      </c>
      <c r="I43" s="27"/>
      <c r="J43" s="28"/>
      <c r="K43" s="19"/>
    </row>
    <row r="44" spans="3:11" x14ac:dyDescent="0.25">
      <c r="C44" s="18" t="str">
        <f>IF(D7="","",D7)</f>
        <v>Website</v>
      </c>
      <c r="D44" s="32">
        <f>H16</f>
        <v>6</v>
      </c>
      <c r="E44" s="32">
        <f>H17</f>
        <v>8</v>
      </c>
      <c r="F44" s="32">
        <f>H18</f>
        <v>9</v>
      </c>
      <c r="G44" s="32">
        <f>H19</f>
        <v>0</v>
      </c>
      <c r="H44" s="33">
        <f>$D$38*D44+$E$38*E44+$F$38*F44+$G$38*G44</f>
        <v>182</v>
      </c>
      <c r="I44" s="27"/>
      <c r="J44" s="28"/>
      <c r="K44" s="19"/>
    </row>
    <row r="45" spans="3:11" x14ac:dyDescent="0.25">
      <c r="C45" s="18" t="str">
        <f>IF(D8="","",D8)</f>
        <v>Design</v>
      </c>
      <c r="D45" s="32">
        <f>H20</f>
        <v>8</v>
      </c>
      <c r="E45" s="32">
        <f>H21</f>
        <v>9</v>
      </c>
      <c r="F45" s="32">
        <f>H22</f>
        <v>8</v>
      </c>
      <c r="G45" s="32">
        <f>H23</f>
        <v>0</v>
      </c>
      <c r="H45" s="33">
        <f>$D$38*D45+$E$38*E45+$F$38*F45+$G$38*G45</f>
        <v>199</v>
      </c>
      <c r="I45" s="27"/>
      <c r="J45" s="28"/>
      <c r="K45" s="19"/>
    </row>
    <row r="46" spans="3:11" x14ac:dyDescent="0.25">
      <c r="H46" s="19"/>
      <c r="I46" s="19"/>
      <c r="J46" s="19"/>
      <c r="K46" s="19"/>
    </row>
    <row r="54" spans="3:3" x14ac:dyDescent="0.25">
      <c r="C54" s="38" t="s">
        <v>28</v>
      </c>
    </row>
  </sheetData>
  <sheetProtection sheet="1" objects="1" scenarios="1" selectLockedCells="1"/>
  <pageMargins left="0.7" right="0.7" top="0.75" bottom="0.75" header="0.3" footer="0.3"/>
  <pageSetup orientation="landscape"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Introduction</vt:lpstr>
      <vt:lpstr>Example</vt:lpstr>
      <vt:lpstr>Template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bshore</dc:creator>
  <cp:lastModifiedBy>bshore</cp:lastModifiedBy>
  <cp:lastPrinted>2018-04-23T13:52:35Z</cp:lastPrinted>
  <dcterms:created xsi:type="dcterms:W3CDTF">2018-04-03T14:02:08Z</dcterms:created>
  <dcterms:modified xsi:type="dcterms:W3CDTF">2018-12-29T21:38:23Z</dcterms:modified>
</cp:coreProperties>
</file>